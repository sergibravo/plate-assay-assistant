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A:\SBravo\Projects\Angiotensin\Experiments\HiBiT internalization\Losartan_reverse-transfection\"/>
    </mc:Choice>
  </mc:AlternateContent>
  <xr:revisionPtr revIDLastSave="0" documentId="13_ncr:1_{2BB97DF3-94F4-496F-B3B8-CC0FB6ABC5E2}" xr6:coauthVersionLast="37" xr6:coauthVersionMax="47" xr10:uidLastSave="{00000000-0000-0000-0000-000000000000}"/>
  <bookViews>
    <workbookView xWindow="0" yWindow="0" windowWidth="38400" windowHeight="17450" tabRatio="500" activeTab="4" xr2:uid="{00000000-000D-0000-FFFF-FFFF00000000}"/>
  </bookViews>
  <sheets>
    <sheet name="Setup" sheetId="1" r:id="rId1"/>
    <sheet name="PEI Mix" sheetId="3" r:id="rId2"/>
    <sheet name="DNA Mixes" sheetId="2" r:id="rId3"/>
    <sheet name="Plate Layout" sheetId="5" r:id="rId4"/>
    <sheet name="Dilutions" sheetId="4" r:id="rId5"/>
  </sheets>
  <calcPr calcId="179021"/>
</workbook>
</file>

<file path=xl/calcChain.xml><?xml version="1.0" encoding="utf-8"?>
<calcChain xmlns="http://schemas.openxmlformats.org/spreadsheetml/2006/main">
  <c r="AO22" i="4" l="1"/>
  <c r="AH22" i="4"/>
  <c r="AA22" i="4"/>
  <c r="T22" i="4"/>
  <c r="M22" i="4"/>
  <c r="F22" i="4"/>
  <c r="AP21" i="4"/>
  <c r="AO21" i="4"/>
  <c r="AN21" i="4"/>
  <c r="AM21" i="4"/>
  <c r="AL21" i="4"/>
  <c r="AI21" i="4"/>
  <c r="AH21" i="4"/>
  <c r="AG21" i="4"/>
  <c r="AF21" i="4"/>
  <c r="AE21" i="4"/>
  <c r="AB21" i="4"/>
  <c r="AA21" i="4"/>
  <c r="Z21" i="4"/>
  <c r="Y21" i="4"/>
  <c r="X21" i="4"/>
  <c r="U21" i="4"/>
  <c r="T21" i="4"/>
  <c r="S21" i="4"/>
  <c r="R21" i="4"/>
  <c r="Q21" i="4"/>
  <c r="N21" i="4"/>
  <c r="M21" i="4"/>
  <c r="L21" i="4"/>
  <c r="K21" i="4"/>
  <c r="J21" i="4"/>
  <c r="G21" i="4"/>
  <c r="F21" i="4"/>
  <c r="E21" i="4"/>
  <c r="D21" i="4"/>
  <c r="C21" i="4"/>
  <c r="AP20" i="4"/>
  <c r="AO20" i="4"/>
  <c r="AN20" i="4"/>
  <c r="AM20" i="4"/>
  <c r="AL20" i="4"/>
  <c r="AI20" i="4"/>
  <c r="AH20" i="4"/>
  <c r="AG20" i="4"/>
  <c r="AF20" i="4"/>
  <c r="AE20" i="4"/>
  <c r="AB20" i="4"/>
  <c r="AA20" i="4"/>
  <c r="Z20" i="4"/>
  <c r="Y20" i="4"/>
  <c r="X20" i="4"/>
  <c r="U20" i="4"/>
  <c r="T20" i="4"/>
  <c r="S20" i="4"/>
  <c r="R20" i="4"/>
  <c r="Q20" i="4"/>
  <c r="N20" i="4"/>
  <c r="M20" i="4"/>
  <c r="L20" i="4"/>
  <c r="K20" i="4"/>
  <c r="J20" i="4"/>
  <c r="G20" i="4"/>
  <c r="F20" i="4"/>
  <c r="E20" i="4"/>
  <c r="D20" i="4"/>
  <c r="C20" i="4"/>
  <c r="AP19" i="4"/>
  <c r="AO19" i="4"/>
  <c r="AN19" i="4"/>
  <c r="AM19" i="4"/>
  <c r="AL19" i="4"/>
  <c r="AI19" i="4"/>
  <c r="AH19" i="4"/>
  <c r="AG19" i="4"/>
  <c r="AF19" i="4"/>
  <c r="AE19" i="4"/>
  <c r="AB19" i="4"/>
  <c r="AA19" i="4"/>
  <c r="Z19" i="4"/>
  <c r="Y19" i="4"/>
  <c r="X19" i="4"/>
  <c r="U19" i="4"/>
  <c r="T19" i="4"/>
  <c r="S19" i="4"/>
  <c r="R19" i="4"/>
  <c r="Q19" i="4"/>
  <c r="N19" i="4"/>
  <c r="M19" i="4"/>
  <c r="L19" i="4"/>
  <c r="K19" i="4"/>
  <c r="J19" i="4"/>
  <c r="G19" i="4"/>
  <c r="F19" i="4"/>
  <c r="E19" i="4"/>
  <c r="D19" i="4"/>
  <c r="C19" i="4"/>
  <c r="AP18" i="4"/>
  <c r="AO18" i="4"/>
  <c r="AN18" i="4"/>
  <c r="AM18" i="4"/>
  <c r="AL18" i="4"/>
  <c r="AI18" i="4"/>
  <c r="AH18" i="4"/>
  <c r="AG18" i="4"/>
  <c r="AF18" i="4"/>
  <c r="AE18" i="4"/>
  <c r="AB18" i="4"/>
  <c r="AA18" i="4"/>
  <c r="Z18" i="4"/>
  <c r="Y18" i="4"/>
  <c r="X18" i="4"/>
  <c r="U18" i="4"/>
  <c r="T18" i="4"/>
  <c r="S18" i="4"/>
  <c r="R18" i="4"/>
  <c r="Q18" i="4"/>
  <c r="N18" i="4"/>
  <c r="M18" i="4"/>
  <c r="L18" i="4"/>
  <c r="K18" i="4"/>
  <c r="J18" i="4"/>
  <c r="G18" i="4"/>
  <c r="F18" i="4"/>
  <c r="E18" i="4"/>
  <c r="D18" i="4"/>
  <c r="C18" i="4"/>
  <c r="AP17" i="4"/>
  <c r="AO17" i="4"/>
  <c r="AN17" i="4"/>
  <c r="AM17" i="4"/>
  <c r="AL17" i="4"/>
  <c r="AI17" i="4"/>
  <c r="AH17" i="4"/>
  <c r="AG17" i="4"/>
  <c r="AF17" i="4"/>
  <c r="AE17" i="4"/>
  <c r="AB17" i="4"/>
  <c r="AA17" i="4"/>
  <c r="Z17" i="4"/>
  <c r="Y17" i="4"/>
  <c r="X17" i="4"/>
  <c r="U17" i="4"/>
  <c r="T17" i="4"/>
  <c r="S17" i="4"/>
  <c r="R17" i="4"/>
  <c r="Q17" i="4"/>
  <c r="N17" i="4"/>
  <c r="M17" i="4"/>
  <c r="L17" i="4"/>
  <c r="K17" i="4"/>
  <c r="J17" i="4"/>
  <c r="G17" i="4"/>
  <c r="F17" i="4"/>
  <c r="E17" i="4"/>
  <c r="D17" i="4"/>
  <c r="C17" i="4"/>
  <c r="AP16" i="4"/>
  <c r="AO16" i="4"/>
  <c r="AN16" i="4"/>
  <c r="AM16" i="4"/>
  <c r="AL16" i="4"/>
  <c r="AI16" i="4"/>
  <c r="AH16" i="4"/>
  <c r="AG16" i="4"/>
  <c r="AF16" i="4"/>
  <c r="AE16" i="4"/>
  <c r="AB16" i="4"/>
  <c r="AA16" i="4"/>
  <c r="Z16" i="4"/>
  <c r="Y16" i="4"/>
  <c r="X16" i="4"/>
  <c r="U16" i="4"/>
  <c r="T16" i="4"/>
  <c r="S16" i="4"/>
  <c r="R16" i="4"/>
  <c r="Q16" i="4"/>
  <c r="N16" i="4"/>
  <c r="M16" i="4"/>
  <c r="L16" i="4"/>
  <c r="K16" i="4"/>
  <c r="J16" i="4"/>
  <c r="G16" i="4"/>
  <c r="F16" i="4"/>
  <c r="E16" i="4"/>
  <c r="D16" i="4"/>
  <c r="C16" i="4"/>
  <c r="AP15" i="4"/>
  <c r="AO15" i="4"/>
  <c r="AN15" i="4"/>
  <c r="AM15" i="4"/>
  <c r="AL15" i="4"/>
  <c r="AI15" i="4"/>
  <c r="AH15" i="4"/>
  <c r="AG15" i="4"/>
  <c r="AF15" i="4"/>
  <c r="AE15" i="4"/>
  <c r="AB15" i="4"/>
  <c r="AA15" i="4"/>
  <c r="Z15" i="4"/>
  <c r="Y15" i="4"/>
  <c r="X15" i="4"/>
  <c r="U15" i="4"/>
  <c r="T15" i="4"/>
  <c r="S15" i="4"/>
  <c r="R15" i="4"/>
  <c r="Q15" i="4"/>
  <c r="N15" i="4"/>
  <c r="M15" i="4"/>
  <c r="L15" i="4"/>
  <c r="K15" i="4"/>
  <c r="J15" i="4"/>
  <c r="G15" i="4"/>
  <c r="F15" i="4"/>
  <c r="E15" i="4"/>
  <c r="D15" i="4"/>
  <c r="C15" i="4"/>
  <c r="AP14" i="4"/>
  <c r="AO14" i="4"/>
  <c r="AN14" i="4"/>
  <c r="AM14" i="4"/>
  <c r="AL14" i="4"/>
  <c r="AI14" i="4"/>
  <c r="AH14" i="4"/>
  <c r="AG14" i="4"/>
  <c r="AF14" i="4"/>
  <c r="AE14" i="4"/>
  <c r="AB14" i="4"/>
  <c r="AA14" i="4"/>
  <c r="Z14" i="4"/>
  <c r="Y14" i="4"/>
  <c r="X14" i="4"/>
  <c r="U14" i="4"/>
  <c r="T14" i="4"/>
  <c r="S14" i="4"/>
  <c r="R14" i="4"/>
  <c r="Q14" i="4"/>
  <c r="N14" i="4"/>
  <c r="M14" i="4"/>
  <c r="L14" i="4"/>
  <c r="K14" i="4"/>
  <c r="J14" i="4"/>
  <c r="G14" i="4"/>
  <c r="F14" i="4"/>
  <c r="E14" i="4"/>
  <c r="D14" i="4"/>
  <c r="C14" i="4"/>
  <c r="AP13" i="4"/>
  <c r="AO13" i="4"/>
  <c r="AN13" i="4"/>
  <c r="AM13" i="4"/>
  <c r="AL13" i="4"/>
  <c r="AI13" i="4"/>
  <c r="AH13" i="4"/>
  <c r="AG13" i="4"/>
  <c r="AF13" i="4"/>
  <c r="AE13" i="4"/>
  <c r="AB13" i="4"/>
  <c r="AA13" i="4"/>
  <c r="Z13" i="4"/>
  <c r="Y13" i="4"/>
  <c r="X13" i="4"/>
  <c r="U13" i="4"/>
  <c r="T13" i="4"/>
  <c r="S13" i="4"/>
  <c r="R13" i="4"/>
  <c r="Q13" i="4"/>
  <c r="N13" i="4"/>
  <c r="M13" i="4"/>
  <c r="L13" i="4"/>
  <c r="K13" i="4"/>
  <c r="J13" i="4"/>
  <c r="G13" i="4"/>
  <c r="F13" i="4"/>
  <c r="E13" i="4"/>
  <c r="D13" i="4"/>
  <c r="C13" i="4"/>
  <c r="AP12" i="4"/>
  <c r="AO12" i="4"/>
  <c r="AN12" i="4"/>
  <c r="AM12" i="4"/>
  <c r="AL12" i="4"/>
  <c r="AI12" i="4"/>
  <c r="AH12" i="4"/>
  <c r="AG12" i="4"/>
  <c r="AF12" i="4"/>
  <c r="AE12" i="4"/>
  <c r="AB12" i="4"/>
  <c r="AA12" i="4"/>
  <c r="Z12" i="4"/>
  <c r="Y12" i="4"/>
  <c r="X12" i="4"/>
  <c r="U12" i="4"/>
  <c r="T12" i="4"/>
  <c r="S12" i="4"/>
  <c r="R12" i="4"/>
  <c r="Q12" i="4"/>
  <c r="N12" i="4"/>
  <c r="M12" i="4"/>
  <c r="L12" i="4"/>
  <c r="K12" i="4"/>
  <c r="J12" i="4"/>
  <c r="G12" i="4"/>
  <c r="F12" i="4"/>
  <c r="E12" i="4"/>
  <c r="D12" i="4"/>
  <c r="C12" i="4"/>
  <c r="AP11" i="4"/>
  <c r="AO11" i="4"/>
  <c r="AN11" i="4"/>
  <c r="AM11" i="4"/>
  <c r="AL11" i="4"/>
  <c r="AI11" i="4"/>
  <c r="AH11" i="4"/>
  <c r="AG11" i="4"/>
  <c r="AF11" i="4"/>
  <c r="AE11" i="4"/>
  <c r="AB11" i="4"/>
  <c r="AA11" i="4"/>
  <c r="Z11" i="4"/>
  <c r="Y11" i="4"/>
  <c r="X11" i="4"/>
  <c r="R11" i="4"/>
  <c r="U11" i="4" s="1"/>
  <c r="Q11" i="4"/>
  <c r="N11" i="4"/>
  <c r="M11" i="4"/>
  <c r="L11" i="4"/>
  <c r="K11" i="4"/>
  <c r="J11" i="4"/>
  <c r="D11" i="4"/>
  <c r="G11" i="4" s="1"/>
  <c r="C11" i="4"/>
  <c r="AP10" i="4"/>
  <c r="AO10" i="4"/>
  <c r="AN10" i="4"/>
  <c r="AO23" i="4" s="1"/>
  <c r="AM10" i="4"/>
  <c r="AL10" i="4"/>
  <c r="AI10" i="4"/>
  <c r="AH10" i="4"/>
  <c r="AG10" i="4"/>
  <c r="AH23" i="4" s="1"/>
  <c r="AF10" i="4"/>
  <c r="AE10" i="4"/>
  <c r="AB10" i="4"/>
  <c r="AA10" i="4"/>
  <c r="Z10" i="4"/>
  <c r="AA23" i="4" s="1"/>
  <c r="Y10" i="4"/>
  <c r="X10" i="4"/>
  <c r="Q10" i="4"/>
  <c r="K10" i="4"/>
  <c r="N10" i="4" s="1"/>
  <c r="J10" i="4"/>
  <c r="C10" i="4"/>
  <c r="C7" i="3"/>
  <c r="F6" i="3"/>
  <c r="C5" i="3"/>
  <c r="Y44" i="2"/>
  <c r="Z44" i="2" s="1"/>
  <c r="W44" i="2"/>
  <c r="T44" i="2"/>
  <c r="U44" i="2" s="1"/>
  <c r="R44" i="2"/>
  <c r="O44" i="2"/>
  <c r="P44" i="2" s="1"/>
  <c r="M44" i="2"/>
  <c r="J44" i="2"/>
  <c r="K44" i="2" s="1"/>
  <c r="H44" i="2"/>
  <c r="E44" i="2"/>
  <c r="F44" i="2" s="1"/>
  <c r="C44" i="2"/>
  <c r="Y43" i="2"/>
  <c r="Z43" i="2" s="1"/>
  <c r="W43" i="2"/>
  <c r="T43" i="2"/>
  <c r="U43" i="2" s="1"/>
  <c r="R43" i="2"/>
  <c r="O43" i="2"/>
  <c r="P43" i="2" s="1"/>
  <c r="M43" i="2"/>
  <c r="J43" i="2"/>
  <c r="K43" i="2" s="1"/>
  <c r="H43" i="2"/>
  <c r="E43" i="2"/>
  <c r="F43" i="2" s="1"/>
  <c r="C43" i="2"/>
  <c r="Y42" i="2"/>
  <c r="Z42" i="2" s="1"/>
  <c r="W42" i="2"/>
  <c r="T42" i="2"/>
  <c r="U42" i="2" s="1"/>
  <c r="R42" i="2"/>
  <c r="O42" i="2"/>
  <c r="P42" i="2" s="1"/>
  <c r="M42" i="2"/>
  <c r="J42" i="2"/>
  <c r="K42" i="2" s="1"/>
  <c r="H42" i="2"/>
  <c r="E42" i="2"/>
  <c r="F42" i="2" s="1"/>
  <c r="C42" i="2"/>
  <c r="Y41" i="2"/>
  <c r="Z41" i="2" s="1"/>
  <c r="W41" i="2"/>
  <c r="T41" i="2"/>
  <c r="U41" i="2" s="1"/>
  <c r="R41" i="2"/>
  <c r="O41" i="2"/>
  <c r="P41" i="2" s="1"/>
  <c r="M41" i="2"/>
  <c r="J41" i="2"/>
  <c r="K41" i="2" s="1"/>
  <c r="H41" i="2"/>
  <c r="E41" i="2"/>
  <c r="F41" i="2" s="1"/>
  <c r="C41" i="2"/>
  <c r="X40" i="2"/>
  <c r="X45" i="2" s="1"/>
  <c r="W46" i="2" s="1"/>
  <c r="W40" i="2"/>
  <c r="S40" i="2"/>
  <c r="T40" i="2" s="1"/>
  <c r="U40" i="2" s="1"/>
  <c r="R40" i="2"/>
  <c r="N40" i="2"/>
  <c r="O40" i="2" s="1"/>
  <c r="P40" i="2" s="1"/>
  <c r="M40" i="2"/>
  <c r="I40" i="2"/>
  <c r="J40" i="2" s="1"/>
  <c r="K40" i="2" s="1"/>
  <c r="H40" i="2"/>
  <c r="D40" i="2"/>
  <c r="E40" i="2" s="1"/>
  <c r="F40" i="2" s="1"/>
  <c r="C40" i="2"/>
  <c r="Y39" i="2"/>
  <c r="Z39" i="2" s="1"/>
  <c r="W39" i="2"/>
  <c r="T39" i="2"/>
  <c r="U39" i="2" s="1"/>
  <c r="R39" i="2"/>
  <c r="O39" i="2"/>
  <c r="P39" i="2" s="1"/>
  <c r="M39" i="2"/>
  <c r="J39" i="2"/>
  <c r="K39" i="2" s="1"/>
  <c r="H39" i="2"/>
  <c r="E39" i="2"/>
  <c r="F39" i="2" s="1"/>
  <c r="C39" i="2"/>
  <c r="Y38" i="2"/>
  <c r="Z38" i="2" s="1"/>
  <c r="W38" i="2"/>
  <c r="T38" i="2"/>
  <c r="U38" i="2" s="1"/>
  <c r="R38" i="2"/>
  <c r="O38" i="2"/>
  <c r="P38" i="2" s="1"/>
  <c r="M38" i="2"/>
  <c r="J38" i="2"/>
  <c r="H38" i="2"/>
  <c r="E38" i="2"/>
  <c r="F38" i="2" s="1"/>
  <c r="C38" i="2"/>
  <c r="Y37" i="2"/>
  <c r="W37" i="2"/>
  <c r="T37" i="2"/>
  <c r="U37" i="2" s="1"/>
  <c r="R37" i="2"/>
  <c r="O37" i="2"/>
  <c r="P37" i="2" s="1"/>
  <c r="M37" i="2"/>
  <c r="J37" i="2"/>
  <c r="K37" i="2" s="1"/>
  <c r="H37" i="2"/>
  <c r="E37" i="2"/>
  <c r="F37" i="2" s="1"/>
  <c r="C37" i="2"/>
  <c r="W35" i="2"/>
  <c r="R35" i="2"/>
  <c r="M35" i="2"/>
  <c r="H35" i="2"/>
  <c r="C35" i="2"/>
  <c r="Y31" i="2"/>
  <c r="Z31" i="2" s="1"/>
  <c r="W31" i="2"/>
  <c r="T31" i="2"/>
  <c r="U31" i="2" s="1"/>
  <c r="R31" i="2"/>
  <c r="O31" i="2"/>
  <c r="P31" i="2" s="1"/>
  <c r="M31" i="2"/>
  <c r="J31" i="2"/>
  <c r="K31" i="2" s="1"/>
  <c r="H31" i="2"/>
  <c r="E31" i="2"/>
  <c r="F31" i="2" s="1"/>
  <c r="C31" i="2"/>
  <c r="Y30" i="2"/>
  <c r="Z30" i="2" s="1"/>
  <c r="W30" i="2"/>
  <c r="T30" i="2"/>
  <c r="U30" i="2" s="1"/>
  <c r="R30" i="2"/>
  <c r="O30" i="2"/>
  <c r="P30" i="2" s="1"/>
  <c r="M30" i="2"/>
  <c r="J30" i="2"/>
  <c r="K30" i="2" s="1"/>
  <c r="H30" i="2"/>
  <c r="E30" i="2"/>
  <c r="F30" i="2" s="1"/>
  <c r="C30" i="2"/>
  <c r="Y29" i="2"/>
  <c r="Z29" i="2" s="1"/>
  <c r="W29" i="2"/>
  <c r="T29" i="2"/>
  <c r="U29" i="2" s="1"/>
  <c r="R29" i="2"/>
  <c r="O29" i="2"/>
  <c r="P29" i="2" s="1"/>
  <c r="M29" i="2"/>
  <c r="J29" i="2"/>
  <c r="K29" i="2" s="1"/>
  <c r="H29" i="2"/>
  <c r="E29" i="2"/>
  <c r="F29" i="2" s="1"/>
  <c r="C29" i="2"/>
  <c r="Y28" i="2"/>
  <c r="Z28" i="2" s="1"/>
  <c r="W28" i="2"/>
  <c r="T28" i="2"/>
  <c r="U28" i="2" s="1"/>
  <c r="R28" i="2"/>
  <c r="O28" i="2"/>
  <c r="P28" i="2" s="1"/>
  <c r="M28" i="2"/>
  <c r="J28" i="2"/>
  <c r="K28" i="2" s="1"/>
  <c r="H28" i="2"/>
  <c r="E28" i="2"/>
  <c r="F28" i="2" s="1"/>
  <c r="C28" i="2"/>
  <c r="X27" i="2"/>
  <c r="X32" i="2" s="1"/>
  <c r="W33" i="2" s="1"/>
  <c r="W27" i="2"/>
  <c r="S27" i="2"/>
  <c r="S32" i="2" s="1"/>
  <c r="R33" i="2" s="1"/>
  <c r="R27" i="2"/>
  <c r="N27" i="2"/>
  <c r="N32" i="2" s="1"/>
  <c r="M33" i="2" s="1"/>
  <c r="M27" i="2"/>
  <c r="I27" i="2"/>
  <c r="J27" i="2" s="1"/>
  <c r="K27" i="2" s="1"/>
  <c r="H27" i="2"/>
  <c r="D27" i="2"/>
  <c r="D32" i="2" s="1"/>
  <c r="C33" i="2" s="1"/>
  <c r="C27" i="2"/>
  <c r="Y26" i="2"/>
  <c r="Z26" i="2" s="1"/>
  <c r="W26" i="2"/>
  <c r="T26" i="2"/>
  <c r="U26" i="2" s="1"/>
  <c r="R26" i="2"/>
  <c r="O26" i="2"/>
  <c r="P26" i="2" s="1"/>
  <c r="M26" i="2"/>
  <c r="J26" i="2"/>
  <c r="K26" i="2" s="1"/>
  <c r="H26" i="2"/>
  <c r="E26" i="2"/>
  <c r="F26" i="2" s="1"/>
  <c r="C26" i="2"/>
  <c r="Y25" i="2"/>
  <c r="Z25" i="2" s="1"/>
  <c r="W25" i="2"/>
  <c r="T25" i="2"/>
  <c r="U25" i="2" s="1"/>
  <c r="R25" i="2"/>
  <c r="O25" i="2"/>
  <c r="M25" i="2"/>
  <c r="J25" i="2"/>
  <c r="K25" i="2" s="1"/>
  <c r="H25" i="2"/>
  <c r="E25" i="2"/>
  <c r="F25" i="2" s="1"/>
  <c r="C25" i="2"/>
  <c r="Y24" i="2"/>
  <c r="Z24" i="2" s="1"/>
  <c r="W24" i="2"/>
  <c r="T24" i="2"/>
  <c r="U24" i="2" s="1"/>
  <c r="R24" i="2"/>
  <c r="O24" i="2"/>
  <c r="P24" i="2" s="1"/>
  <c r="M24" i="2"/>
  <c r="J24" i="2"/>
  <c r="K24" i="2" s="1"/>
  <c r="H24" i="2"/>
  <c r="E24" i="2"/>
  <c r="F24" i="2" s="1"/>
  <c r="C24" i="2"/>
  <c r="W22" i="2"/>
  <c r="R22" i="2"/>
  <c r="M22" i="2"/>
  <c r="H22" i="2"/>
  <c r="C22" i="2"/>
  <c r="Y18" i="2"/>
  <c r="Z18" i="2" s="1"/>
  <c r="W18" i="2"/>
  <c r="T18" i="2"/>
  <c r="U18" i="2" s="1"/>
  <c r="R18" i="2"/>
  <c r="O18" i="2"/>
  <c r="P18" i="2" s="1"/>
  <c r="M18" i="2"/>
  <c r="J18" i="2"/>
  <c r="K18" i="2" s="1"/>
  <c r="H18" i="2"/>
  <c r="E18" i="2"/>
  <c r="F18" i="2" s="1"/>
  <c r="C18" i="2"/>
  <c r="Y17" i="2"/>
  <c r="Z17" i="2" s="1"/>
  <c r="W17" i="2"/>
  <c r="T17" i="2"/>
  <c r="U17" i="2" s="1"/>
  <c r="R17" i="2"/>
  <c r="O17" i="2"/>
  <c r="P17" i="2" s="1"/>
  <c r="M17" i="2"/>
  <c r="J17" i="2"/>
  <c r="K17" i="2" s="1"/>
  <c r="H17" i="2"/>
  <c r="E17" i="2"/>
  <c r="F17" i="2" s="1"/>
  <c r="C17" i="2"/>
  <c r="Y16" i="2"/>
  <c r="Z16" i="2" s="1"/>
  <c r="W16" i="2"/>
  <c r="T16" i="2"/>
  <c r="U16" i="2" s="1"/>
  <c r="R16" i="2"/>
  <c r="O16" i="2"/>
  <c r="P16" i="2" s="1"/>
  <c r="M16" i="2"/>
  <c r="J16" i="2"/>
  <c r="K16" i="2" s="1"/>
  <c r="H16" i="2"/>
  <c r="E16" i="2"/>
  <c r="F16" i="2" s="1"/>
  <c r="C16" i="2"/>
  <c r="Y15" i="2"/>
  <c r="Z15" i="2" s="1"/>
  <c r="W15" i="2"/>
  <c r="T15" i="2"/>
  <c r="U15" i="2" s="1"/>
  <c r="R15" i="2"/>
  <c r="O15" i="2"/>
  <c r="P15" i="2" s="1"/>
  <c r="M15" i="2"/>
  <c r="J15" i="2"/>
  <c r="K15" i="2" s="1"/>
  <c r="H15" i="2"/>
  <c r="E15" i="2"/>
  <c r="F15" i="2" s="1"/>
  <c r="C15" i="2"/>
  <c r="X14" i="2"/>
  <c r="Y14" i="2" s="1"/>
  <c r="Z14" i="2" s="1"/>
  <c r="W14" i="2"/>
  <c r="S14" i="2"/>
  <c r="T14" i="2" s="1"/>
  <c r="U14" i="2" s="1"/>
  <c r="R14" i="2"/>
  <c r="N14" i="2"/>
  <c r="O14" i="2" s="1"/>
  <c r="P14" i="2" s="1"/>
  <c r="M14" i="2"/>
  <c r="I14" i="2"/>
  <c r="J14" i="2" s="1"/>
  <c r="K14" i="2" s="1"/>
  <c r="H14" i="2"/>
  <c r="D14" i="2"/>
  <c r="E14" i="2" s="1"/>
  <c r="F14" i="2" s="1"/>
  <c r="C14" i="2"/>
  <c r="Y13" i="2"/>
  <c r="Z13" i="2" s="1"/>
  <c r="W13" i="2"/>
  <c r="T13" i="2"/>
  <c r="U13" i="2" s="1"/>
  <c r="R13" i="2"/>
  <c r="O13" i="2"/>
  <c r="P13" i="2" s="1"/>
  <c r="M13" i="2"/>
  <c r="J13" i="2"/>
  <c r="K13" i="2" s="1"/>
  <c r="H13" i="2"/>
  <c r="E13" i="2"/>
  <c r="F13" i="2" s="1"/>
  <c r="C13" i="2"/>
  <c r="Y12" i="2"/>
  <c r="Z12" i="2" s="1"/>
  <c r="W12" i="2"/>
  <c r="T12" i="2"/>
  <c r="R12" i="2"/>
  <c r="O12" i="2"/>
  <c r="P12" i="2" s="1"/>
  <c r="M12" i="2"/>
  <c r="J12" i="2"/>
  <c r="K12" i="2" s="1"/>
  <c r="H12" i="2"/>
  <c r="E12" i="2"/>
  <c r="F12" i="2" s="1"/>
  <c r="C12" i="2"/>
  <c r="Y11" i="2"/>
  <c r="Z11" i="2" s="1"/>
  <c r="W11" i="2"/>
  <c r="T11" i="2"/>
  <c r="U11" i="2" s="1"/>
  <c r="R11" i="2"/>
  <c r="O11" i="2"/>
  <c r="P11" i="2" s="1"/>
  <c r="M11" i="2"/>
  <c r="J11" i="2"/>
  <c r="K11" i="2" s="1"/>
  <c r="H11" i="2"/>
  <c r="E11" i="2"/>
  <c r="C11" i="2"/>
  <c r="W9" i="2"/>
  <c r="R9" i="2"/>
  <c r="M9" i="2"/>
  <c r="H9" i="2"/>
  <c r="C9" i="2"/>
  <c r="C29" i="1"/>
  <c r="C28" i="1"/>
  <c r="C27" i="1"/>
  <c r="C26" i="1"/>
  <c r="Y33" i="2" s="1"/>
  <c r="C25" i="1"/>
  <c r="C24" i="1"/>
  <c r="C23" i="1"/>
  <c r="S11" i="4" l="1"/>
  <c r="T11" i="4"/>
  <c r="R10" i="4"/>
  <c r="U10" i="4" s="1"/>
  <c r="E11" i="4"/>
  <c r="F11" i="4" s="1"/>
  <c r="L10" i="4"/>
  <c r="M23" i="4" s="1"/>
  <c r="D10" i="4"/>
  <c r="G10" i="4" s="1"/>
  <c r="S45" i="2"/>
  <c r="R46" i="2" s="1"/>
  <c r="X19" i="2"/>
  <c r="W20" i="2" s="1"/>
  <c r="N45" i="2"/>
  <c r="M46" i="2" s="1"/>
  <c r="I45" i="2"/>
  <c r="H46" i="2" s="1"/>
  <c r="I19" i="2"/>
  <c r="H20" i="2" s="1"/>
  <c r="D45" i="2"/>
  <c r="C46" i="2" s="1"/>
  <c r="N19" i="2"/>
  <c r="M20" i="2" s="1"/>
  <c r="T27" i="2"/>
  <c r="U27" i="2" s="1"/>
  <c r="U32" i="2" s="1"/>
  <c r="I32" i="2"/>
  <c r="H33" i="2" s="1"/>
  <c r="C6" i="3"/>
  <c r="O20" i="2"/>
  <c r="F45" i="2"/>
  <c r="T45" i="2"/>
  <c r="E19" i="2"/>
  <c r="T20" i="2"/>
  <c r="K32" i="2"/>
  <c r="E46" i="2"/>
  <c r="T46" i="2"/>
  <c r="J19" i="2"/>
  <c r="Y46" i="2"/>
  <c r="J45" i="2"/>
  <c r="P45" i="2"/>
  <c r="S10" i="4"/>
  <c r="T23" i="4" s="1"/>
  <c r="S19" i="2"/>
  <c r="R20" i="2" s="1"/>
  <c r="T19" i="2"/>
  <c r="U45" i="2"/>
  <c r="F5" i="3"/>
  <c r="F4" i="3"/>
  <c r="C8" i="3"/>
  <c r="Y19" i="2"/>
  <c r="K19" i="2"/>
  <c r="O45" i="2"/>
  <c r="P19" i="2"/>
  <c r="Z19" i="2"/>
  <c r="F11" i="2"/>
  <c r="F19" i="2" s="1"/>
  <c r="U12" i="2"/>
  <c r="U19" i="2" s="1"/>
  <c r="P25" i="2"/>
  <c r="E27" i="2"/>
  <c r="O27" i="2"/>
  <c r="P27" i="2" s="1"/>
  <c r="Y27" i="2"/>
  <c r="Z27" i="2" s="1"/>
  <c r="Z32" i="2" s="1"/>
  <c r="J33" i="2"/>
  <c r="K38" i="2"/>
  <c r="K45" i="2" s="1"/>
  <c r="O19" i="2"/>
  <c r="J32" i="2"/>
  <c r="O33" i="2"/>
  <c r="Z37" i="2"/>
  <c r="E45" i="2"/>
  <c r="D19" i="2"/>
  <c r="C20" i="2" s="1"/>
  <c r="E20" i="2"/>
  <c r="Y20" i="2"/>
  <c r="Y40" i="2"/>
  <c r="Z40" i="2" s="1"/>
  <c r="J46" i="2"/>
  <c r="T33" i="2"/>
  <c r="J20" i="2"/>
  <c r="O46" i="2"/>
  <c r="E33" i="2"/>
  <c r="M10" i="4" l="1"/>
  <c r="E10" i="4"/>
  <c r="F10" i="4" s="1"/>
  <c r="Z45" i="2"/>
  <c r="T32" i="2"/>
  <c r="P32" i="2"/>
  <c r="Y45" i="2"/>
  <c r="Y32" i="2"/>
  <c r="T10" i="4"/>
  <c r="F27" i="2"/>
  <c r="F32" i="2" s="1"/>
  <c r="E32" i="2"/>
  <c r="O32" i="2"/>
  <c r="F23" i="4" l="1"/>
</calcChain>
</file>

<file path=xl/sharedStrings.xml><?xml version="1.0" encoding="utf-8"?>
<sst xmlns="http://schemas.openxmlformats.org/spreadsheetml/2006/main" count="263" uniqueCount="123">
  <si>
    <t>TRANSFECTION OPTIMISATION CALCULATOR</t>
  </si>
  <si>
    <t>GENERAL PARAMETERS</t>
  </si>
  <si>
    <t>CELL PARAMETERS</t>
  </si>
  <si>
    <t>REAGENT PARAMETERS</t>
  </si>
  <si>
    <t>Cells/well (M)</t>
  </si>
  <si>
    <t>PEI stock (µg/µl)</t>
  </si>
  <si>
    <t>DNA/well (ng)</t>
  </si>
  <si>
    <t>DMEM/well (µl)</t>
  </si>
  <si>
    <t>OptiMEM lot #</t>
  </si>
  <si>
    <t>OptiMEM (µl/well)</t>
  </si>
  <si>
    <t>Plate format</t>
  </si>
  <si>
    <t>96-well</t>
  </si>
  <si>
    <t>PEI lot #</t>
  </si>
  <si>
    <t>PEI:DNA ratio</t>
  </si>
  <si>
    <t>Margin factor (×)</t>
  </si>
  <si>
    <t>DNA STOCK INVENTORY</t>
  </si>
  <si>
    <t>DNA name</t>
  </si>
  <si>
    <t>Stock conc. (ng/µl)</t>
  </si>
  <si>
    <t>Notes</t>
  </si>
  <si>
    <t>Receptor</t>
  </si>
  <si>
    <t>LgBiT membrane anchor</t>
  </si>
  <si>
    <t>SmBiT sensor</t>
  </si>
  <si>
    <t>pcDNA</t>
  </si>
  <si>
    <t>Empty vector / filler</t>
  </si>
  <si>
    <t>Filler DNA row #</t>
  </si>
  <si>
    <t>← Which row above is the filler (1-8)</t>
  </si>
  <si>
    <t>CALCULATED SUMMARY (per condition)</t>
  </si>
  <si>
    <t>Total DNA / condition (ng)</t>
  </si>
  <si>
    <t>Total DNA × margin (ng)</t>
  </si>
  <si>
    <t>PEI / condition (µl)</t>
  </si>
  <si>
    <t>OptiMEM for DNA (µl)</t>
  </si>
  <si>
    <t>OptiMEM for PEI (µl)</t>
  </si>
  <si>
    <t>DMEM / condition (µl)</t>
  </si>
  <si>
    <t>Cells / condition (M)</t>
  </si>
  <si>
    <t>Yellow cells = user inputs  |  Blue cells = auto-calculated</t>
  </si>
  <si>
    <t>DNA MIX CONDITIONS</t>
  </si>
  <si>
    <t>EXPERIMENT GRID SETUP</t>
  </si>
  <si>
    <t>Columns across (Dim A):</t>
  </si>
  <si>
    <t>← e.g. 3 receptor concentrations</t>
  </si>
  <si>
    <t>Row groups down (Dim B):</t>
  </si>
  <si>
    <t>← e.g. 2 LgBiT concentrations</t>
  </si>
  <si>
    <t>Total conditions:</t>
  </si>
  <si>
    <t>Unused blocks (greyed headers) are hidden when % cells are left empty</t>
  </si>
  <si>
    <t>no receptor</t>
  </si>
  <si>
    <t>Condition 5</t>
  </si>
  <si>
    <t>%</t>
  </si>
  <si>
    <t>ng</t>
  </si>
  <si>
    <t>µl</t>
  </si>
  <si>
    <t>TOTAL</t>
  </si>
  <si>
    <t>PEI MIX PREPARATION</t>
  </si>
  <si>
    <t>PEI MASTER MIX</t>
  </si>
  <si>
    <t>CELL SUSPENSION</t>
  </si>
  <si>
    <t># conditions to prepare</t>
  </si>
  <si>
    <t>DMEM total (µl)</t>
  </si>
  <si>
    <t>PEI per condition (µl)</t>
  </si>
  <si>
    <t>Total cells needed (M)</t>
  </si>
  <si>
    <t>Total PEI needed (µl)</t>
  </si>
  <si>
    <t>Cell suspension vol/well (µl)</t>
  </si>
  <si>
    <t>OptiMEM for PEI (µl/condition)</t>
  </si>
  <si>
    <t>Total OptiMEM for PEI (µl)</t>
  </si>
  <si>
    <t>PROTOCOL REMINDER</t>
  </si>
  <si>
    <t>1. Prepare DNA + OptiMEM mixes per condition (see DNA Mixes sheet)</t>
  </si>
  <si>
    <t>2. Prepare PEI + OptiMEM master mix (values above)</t>
  </si>
  <si>
    <t>3. Add equal volume of PEI/OptiMEM to each DNA/OptiMEM tube</t>
  </si>
  <si>
    <t>4. Incubate 15-20 min at RT</t>
  </si>
  <si>
    <t>5. Add transfection complex to wells</t>
  </si>
  <si>
    <t>6. Add cell suspension to wells</t>
  </si>
  <si>
    <t>7. Incubate at 37°C, 5% CO₂</t>
  </si>
  <si>
    <t>SERIAL DILUTION CALCULATOR</t>
  </si>
  <si>
    <t>Compound 4</t>
  </si>
  <si>
    <t>Compound 5</t>
  </si>
  <si>
    <t>Compound 6</t>
  </si>
  <si>
    <t>Vol for wells (µl)</t>
  </si>
  <si>
    <t>Dilution factor</t>
  </si>
  <si>
    <t>Stock conc. (µM)</t>
  </si>
  <si>
    <t>Margin (×)</t>
  </si>
  <si>
    <t>Dilution Bank</t>
  </si>
  <si>
    <t>Conc.
(logM)</t>
  </si>
  <si>
    <t>Conc.
(µM)</t>
  </si>
  <si>
    <t>Vol to
prepare (µl)</t>
  </si>
  <si>
    <t>From prev.
or stock (µl)</t>
  </si>
  <si>
    <t>Buffer
(µl)</t>
  </si>
  <si>
    <t>Left for
wells (µl)</t>
  </si>
  <si>
    <t>Total buffer needed (µl):</t>
  </si>
  <si>
    <t>Stock needed (µl):</t>
  </si>
  <si>
    <t>BUFFER SUMMARY</t>
  </si>
  <si>
    <t>96-WELL PLATE LAYOUT</t>
  </si>
  <si>
    <t>A</t>
  </si>
  <si>
    <t>B</t>
  </si>
  <si>
    <t>C</t>
  </si>
  <si>
    <t>D</t>
  </si>
  <si>
    <t>E</t>
  </si>
  <si>
    <t>F</t>
  </si>
  <si>
    <t>G</t>
  </si>
  <si>
    <t>H</t>
  </si>
  <si>
    <t>arr3</t>
  </si>
  <si>
    <t>stable and arr
(ignore title)</t>
  </si>
  <si>
    <t>Buffer</t>
  </si>
  <si>
    <t>Row</t>
  </si>
  <si>
    <t>Transfection</t>
  </si>
  <si>
    <t>Time</t>
  </si>
  <si>
    <t>Total wells (per transf)</t>
  </si>
  <si>
    <t>HiBiT-AT1R</t>
  </si>
  <si>
    <t>hibit</t>
  </si>
  <si>
    <t>hibit+arr</t>
  </si>
  <si>
    <t>low hibit</t>
  </si>
  <si>
    <t>med hibit</t>
  </si>
  <si>
    <t>high hibit</t>
  </si>
  <si>
    <t>1% hibit</t>
  </si>
  <si>
    <t>1% hibit +arr</t>
  </si>
  <si>
    <t>0,5% hibit +arr</t>
  </si>
  <si>
    <t>0,5% hibit</t>
  </si>
  <si>
    <t>0% hibit</t>
  </si>
  <si>
    <t>AngII</t>
  </si>
  <si>
    <t>Losartan 1 µM</t>
  </si>
  <si>
    <t>losartan 10µM</t>
  </si>
  <si>
    <t>Ang(1-7)</t>
  </si>
  <si>
    <t>Losartan</t>
  </si>
  <si>
    <t>20ul + 40,4ul h20dd + 0,73 ul dmso + 139ul hbss</t>
  </si>
  <si>
    <t>buffer for all compounds (µl):</t>
  </si>
  <si>
    <t>30% h20 buff = 1,2ml h20 dd + 2,8ml hbss</t>
  </si>
  <si>
    <t>losa + h20 buff</t>
  </si>
  <si>
    <t>60,4 + 0,73ul DMSO + 139 ul hbss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</si>
</sst>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9" x14ac:knownFonts="1">
    <font>
      <sz val="11"/>
      <color theme="1"/>
      <name val="Calibri"/>
      <charset val="1"/>
    </font>
    <font>
      <sz val="11"/>
      <color theme="1"/>
      <name val="Calibri"/>
      <family val="2"/>
      <charset val="1"/>
    </font>
    <font>
      <b/>
      <sz val="14"/>
      <color rgb="FFFFFFFF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0"/>
      <color rgb="FF404040"/>
      <name val="Arial"/>
      <family val="2"/>
      <charset val="1"/>
    </font>
    <font>
      <sz val="10"/>
      <color rgb="FF0000CC"/>
      <name val="Arial"/>
      <family val="2"/>
      <charset val="1"/>
    </font>
    <font>
      <b/>
      <sz val="9"/>
      <color rgb="FFFFFFFF"/>
      <name val="Arial"/>
      <family val="2"/>
      <charset val="1"/>
    </font>
    <font>
      <sz val="9"/>
      <color rgb="FF808080"/>
      <name val="Arial"/>
      <family val="2"/>
      <charset val="1"/>
    </font>
    <font>
      <i/>
      <sz val="9"/>
      <color rgb="FF80808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CC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8"/>
      <color rgb="FF404040"/>
      <name val="Arial"/>
      <family val="2"/>
      <charset val="1"/>
    </font>
    <font>
      <b/>
      <sz val="10"/>
      <color theme="1"/>
      <name val="Arial"/>
      <family val="2"/>
      <charset val="1"/>
    </font>
    <font>
      <b/>
      <sz val="9"/>
      <color rgb="FFC00000"/>
      <name val="Arial"/>
      <family val="2"/>
      <charset val="1"/>
    </font>
    <font>
      <sz val="10"/>
      <color rgb="FF404040"/>
      <name val="Arial"/>
      <family val="2"/>
      <charset val="1"/>
    </font>
    <font>
      <b/>
      <sz val="8"/>
      <color rgb="FFFFFFFF"/>
      <name val="Arial"/>
      <family val="2"/>
      <charset val="1"/>
    </font>
    <font>
      <b/>
      <sz val="10"/>
      <color rgb="FF1F3864"/>
      <name val="Arial"/>
      <family val="2"/>
      <charset val="1"/>
    </font>
    <font>
      <b/>
      <sz val="9"/>
      <color rgb="FF333333"/>
      <name val="Arial"/>
    </font>
    <font>
      <b/>
      <sz val="9"/>
      <color rgb="FFFFFFFF"/>
      <name val="Arial"/>
    </font>
    <font>
      <b/>
      <sz val="9"/>
      <color rgb="FF5A3D0E"/>
      <name val="Arial"/>
    </font>
    <font>
      <sz val="9"/>
      <color rgb="FF333333"/>
      <name val="Arial"/>
    </font>
    <font>
      <b/>
      <sz val="9"/>
      <color rgb="FF2B2440"/>
      <name val="Arial"/>
    </font>
    <font>
      <b/>
      <sz val="10"/>
      <color rgb="FF1F3864"/>
      <name val="Arial"/>
    </font>
    <font>
      <sz val="9"/>
      <name val="Arial"/>
      <family val="2"/>
    </font>
    <font>
      <sz val="9"/>
      <color rgb="FF333333"/>
      <name val="Arial"/>
      <family val="2"/>
    </font>
    <font>
      <sz val="11"/>
      <name val="Calibri"/>
      <family val="2"/>
    </font>
    <font>
      <sz val="9"/>
      <name val="Arial"/>
      <family val="2"/>
      <charset val="1"/>
    </font>
    <font>
      <sz val="11"/>
      <color theme="1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BE5D6"/>
      </patternFill>
    </fill>
    <fill>
      <patternFill patternType="solid">
        <fgColor rgb="FFF2F2F2"/>
        <bgColor rgb="FFE2EFDA"/>
      </patternFill>
    </fill>
    <fill>
      <patternFill patternType="solid">
        <fgColor rgb="FFD6E4F0"/>
        <bgColor rgb="FFE2EFDA"/>
      </patternFill>
    </fill>
    <fill>
      <patternFill patternType="solid">
        <fgColor rgb="FF548235"/>
        <bgColor rgb="FF339966"/>
      </patternFill>
    </fill>
    <fill>
      <patternFill patternType="solid">
        <fgColor rgb="FFE2EFDA"/>
        <bgColor rgb="FFF2F2F2"/>
      </patternFill>
    </fill>
    <fill>
      <patternFill patternType="solid">
        <fgColor rgb="FFED7D31"/>
        <bgColor rgb="FFFF8080"/>
      </patternFill>
    </fill>
    <fill>
      <patternFill patternType="solid">
        <fgColor rgb="FFFBE5D6"/>
        <bgColor rgb="FFFFF2CC"/>
      </patternFill>
    </fill>
    <fill>
      <patternFill patternType="solid">
        <fgColor theme="9"/>
        <bgColor rgb="FFE2EFDA"/>
      </patternFill>
    </fill>
    <fill>
      <patternFill patternType="solid">
        <fgColor rgb="FF2E75B6"/>
      </patternFill>
    </fill>
    <fill>
      <patternFill patternType="solid">
        <fgColor rgb="FFF7F6F2"/>
      </patternFill>
    </fill>
    <fill>
      <patternFill patternType="solid">
        <fgColor rgb="FFE8E6DE"/>
      </patternFill>
    </fill>
    <fill>
      <patternFill patternType="solid">
        <fgColor rgb="FFFFC000"/>
        <bgColor rgb="FFFBE5D6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F9000"/>
      </left>
      <right/>
      <top style="thin">
        <color rgb="FFBF9000"/>
      </top>
      <bottom style="thin">
        <color rgb="FFBF9000"/>
      </bottom>
      <diagonal/>
    </border>
    <border>
      <left style="thin">
        <color rgb="FFBF9000"/>
      </left>
      <right/>
      <top/>
      <bottom style="thin">
        <color rgb="FFB0B0B0"/>
      </bottom>
      <diagonal/>
    </border>
    <border>
      <left/>
      <right/>
      <top/>
      <bottom style="thin">
        <color rgb="FFB0B0B0"/>
      </bottom>
      <diagonal/>
    </border>
    <border>
      <left style="thin">
        <color rgb="FFBF9000"/>
      </left>
      <right/>
      <top style="thin">
        <color rgb="FFB0B0B0"/>
      </top>
      <bottom/>
      <diagonal/>
    </border>
    <border>
      <left/>
      <right/>
      <top style="thin">
        <color rgb="FFB0B0B0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BF9000"/>
      </bottom>
      <diagonal/>
    </border>
  </borders>
  <cellStyleXfs count="2">
    <xf numFmtId="0" fontId="0" fillId="0" borderId="0"/>
    <xf numFmtId="0" fontId="1" fillId="0" borderId="0"/>
  </cellStyleXfs>
  <cellXfs count="104">
    <xf numFmtId="0" fontId="0" fillId="0" borderId="0" xfId="0"/>
    <xf numFmtId="0" fontId="4" fillId="0" borderId="0" xfId="0" applyFont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1" fontId="9" fillId="6" borderId="3" xfId="0" applyNumberFormat="1" applyFont="1" applyFill="1" applyBorder="1" applyAlignment="1">
      <alignment horizontal="center" vertical="center"/>
    </xf>
    <xf numFmtId="2" fontId="9" fillId="6" borderId="3" xfId="0" applyNumberFormat="1" applyFont="1" applyFill="1" applyBorder="1" applyAlignment="1">
      <alignment horizontal="center" vertical="center"/>
    </xf>
    <xf numFmtId="164" fontId="9" fillId="6" borderId="3" xfId="0" applyNumberFormat="1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12" fillId="8" borderId="3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left" vertical="center"/>
    </xf>
    <xf numFmtId="165" fontId="9" fillId="6" borderId="3" xfId="0" applyNumberFormat="1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right" vertical="center"/>
    </xf>
    <xf numFmtId="1" fontId="13" fillId="6" borderId="3" xfId="0" applyNumberFormat="1" applyFont="1" applyFill="1" applyBorder="1" applyAlignment="1">
      <alignment horizontal="center" vertical="center"/>
    </xf>
    <xf numFmtId="165" fontId="4" fillId="6" borderId="3" xfId="0" applyNumberFormat="1" applyFont="1" applyFill="1" applyBorder="1" applyAlignment="1">
      <alignment horizontal="center" vertical="center"/>
    </xf>
    <xf numFmtId="2" fontId="4" fillId="6" borderId="3" xfId="0" applyNumberFormat="1" applyFont="1" applyFill="1" applyBorder="1" applyAlignment="1">
      <alignment horizontal="center" vertical="center"/>
    </xf>
    <xf numFmtId="0" fontId="12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/>
    </xf>
    <xf numFmtId="0" fontId="4" fillId="10" borderId="3" xfId="0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/>
    </xf>
    <xf numFmtId="0" fontId="0" fillId="0" borderId="0" xfId="1" applyFont="1"/>
    <xf numFmtId="0" fontId="4" fillId="0" borderId="0" xfId="1" applyFont="1" applyAlignment="1">
      <alignment horizontal="right" vertical="center"/>
    </xf>
    <xf numFmtId="2" fontId="0" fillId="0" borderId="0" xfId="1" applyNumberFormat="1" applyFont="1"/>
    <xf numFmtId="2" fontId="4" fillId="0" borderId="0" xfId="1" applyNumberFormat="1" applyFont="1" applyAlignment="1">
      <alignment horizontal="right" vertical="center"/>
    </xf>
    <xf numFmtId="0" fontId="16" fillId="3" borderId="3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/>
    </xf>
    <xf numFmtId="11" fontId="9" fillId="6" borderId="3" xfId="1" applyNumberFormat="1" applyFont="1" applyFill="1" applyBorder="1" applyAlignment="1">
      <alignment horizontal="center" vertical="center"/>
    </xf>
    <xf numFmtId="1" fontId="9" fillId="6" borderId="3" xfId="1" applyNumberFormat="1" applyFont="1" applyFill="1" applyBorder="1" applyAlignment="1">
      <alignment horizontal="center" vertical="center"/>
    </xf>
    <xf numFmtId="2" fontId="9" fillId="6" borderId="3" xfId="1" applyNumberFormat="1" applyFont="1" applyFill="1" applyBorder="1" applyAlignment="1">
      <alignment horizontal="center" vertical="center"/>
    </xf>
    <xf numFmtId="1" fontId="4" fillId="6" borderId="3" xfId="1" applyNumberFormat="1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0" fillId="0" borderId="0" xfId="0"/>
    <xf numFmtId="0" fontId="17" fillId="0" borderId="0" xfId="0" applyFont="1" applyAlignment="1">
      <alignment vertical="center"/>
    </xf>
    <xf numFmtId="0" fontId="19" fillId="12" borderId="0" xfId="0" applyFont="1" applyFill="1" applyAlignment="1">
      <alignment horizontal="center" vertical="center"/>
    </xf>
    <xf numFmtId="0" fontId="23" fillId="0" borderId="0" xfId="0" applyFont="1" applyAlignment="1">
      <alignment horizontal="left"/>
    </xf>
    <xf numFmtId="0" fontId="19" fillId="12" borderId="10" xfId="0" applyFont="1" applyFill="1" applyBorder="1" applyAlignment="1">
      <alignment horizontal="center" vertical="center"/>
    </xf>
    <xf numFmtId="164" fontId="5" fillId="15" borderId="1" xfId="0" applyNumberFormat="1" applyFont="1" applyFill="1" applyBorder="1" applyAlignment="1">
      <alignment horizontal="center" vertical="center"/>
    </xf>
    <xf numFmtId="0" fontId="24" fillId="0" borderId="13" xfId="0" applyFont="1" applyFill="1" applyBorder="1" applyAlignment="1">
      <alignment vertical="center"/>
    </xf>
    <xf numFmtId="0" fontId="24" fillId="0" borderId="15" xfId="0" applyFont="1" applyFill="1" applyBorder="1" applyAlignment="1">
      <alignment vertical="center"/>
    </xf>
    <xf numFmtId="0" fontId="24" fillId="0" borderId="16" xfId="0" applyFont="1" applyFill="1" applyBorder="1" applyAlignment="1">
      <alignment vertical="center"/>
    </xf>
    <xf numFmtId="0" fontId="24" fillId="0" borderId="19" xfId="0" applyFont="1" applyFill="1" applyBorder="1" applyAlignment="1">
      <alignment vertical="center"/>
    </xf>
    <xf numFmtId="0" fontId="22" fillId="0" borderId="13" xfId="0" applyFont="1" applyFill="1" applyBorder="1" applyAlignment="1">
      <alignment horizontal="center" vertical="center"/>
    </xf>
    <xf numFmtId="0" fontId="21" fillId="0" borderId="19" xfId="0" applyFont="1" applyFill="1" applyBorder="1" applyAlignment="1">
      <alignment horizontal="center" vertical="center"/>
    </xf>
    <xf numFmtId="0" fontId="0" fillId="0" borderId="20" xfId="0" applyBorder="1" applyAlignment="1">
      <alignment vertical="center" wrapText="1"/>
    </xf>
    <xf numFmtId="0" fontId="25" fillId="0" borderId="21" xfId="0" applyFont="1" applyFill="1" applyBorder="1" applyAlignment="1">
      <alignment horizontal="center" vertical="center"/>
    </xf>
    <xf numFmtId="0" fontId="0" fillId="0" borderId="14" xfId="0" applyBorder="1" applyAlignment="1">
      <alignment vertical="center" wrapText="1"/>
    </xf>
    <xf numFmtId="0" fontId="21" fillId="0" borderId="16" xfId="0" applyFont="1" applyFill="1" applyBorder="1" applyAlignment="1">
      <alignment horizontal="center" vertical="center"/>
    </xf>
    <xf numFmtId="0" fontId="0" fillId="0" borderId="18" xfId="0" applyBorder="1" applyAlignment="1">
      <alignment vertical="center" wrapText="1"/>
    </xf>
    <xf numFmtId="0" fontId="24" fillId="0" borderId="22" xfId="0" applyFont="1" applyFill="1" applyBorder="1" applyAlignment="1">
      <alignment vertical="center"/>
    </xf>
    <xf numFmtId="0" fontId="24" fillId="0" borderId="21" xfId="0" applyFont="1" applyFill="1" applyBorder="1" applyAlignment="1">
      <alignment vertical="center"/>
    </xf>
    <xf numFmtId="0" fontId="24" fillId="16" borderId="22" xfId="0" applyFont="1" applyFill="1" applyBorder="1" applyAlignment="1">
      <alignment vertical="center"/>
    </xf>
    <xf numFmtId="0" fontId="24" fillId="16" borderId="15" xfId="0" applyFont="1" applyFill="1" applyBorder="1" applyAlignment="1">
      <alignment vertical="center"/>
    </xf>
    <xf numFmtId="0" fontId="24" fillId="16" borderId="13" xfId="0" applyFont="1" applyFill="1" applyBorder="1" applyAlignment="1">
      <alignment vertical="center"/>
    </xf>
    <xf numFmtId="0" fontId="24" fillId="17" borderId="22" xfId="0" applyFont="1" applyFill="1" applyBorder="1" applyAlignment="1">
      <alignment vertical="center"/>
    </xf>
    <xf numFmtId="0" fontId="24" fillId="17" borderId="15" xfId="0" applyFont="1" applyFill="1" applyBorder="1" applyAlignment="1">
      <alignment vertical="center"/>
    </xf>
    <xf numFmtId="0" fontId="24" fillId="17" borderId="13" xfId="0" applyFont="1" applyFill="1" applyBorder="1" applyAlignment="1">
      <alignment vertical="center"/>
    </xf>
    <xf numFmtId="0" fontId="24" fillId="18" borderId="22" xfId="0" applyFont="1" applyFill="1" applyBorder="1" applyAlignment="1">
      <alignment vertical="center"/>
    </xf>
    <xf numFmtId="0" fontId="24" fillId="18" borderId="15" xfId="0" applyFont="1" applyFill="1" applyBorder="1" applyAlignment="1">
      <alignment vertical="center"/>
    </xf>
    <xf numFmtId="0" fontId="24" fillId="18" borderId="13" xfId="0" applyFont="1" applyFill="1" applyBorder="1" applyAlignment="1">
      <alignment vertical="center"/>
    </xf>
    <xf numFmtId="0" fontId="24" fillId="19" borderId="22" xfId="0" applyFont="1" applyFill="1" applyBorder="1" applyAlignment="1">
      <alignment vertical="center"/>
    </xf>
    <xf numFmtId="0" fontId="24" fillId="19" borderId="15" xfId="0" applyFont="1" applyFill="1" applyBorder="1" applyAlignment="1">
      <alignment vertical="center"/>
    </xf>
    <xf numFmtId="0" fontId="24" fillId="19" borderId="13" xfId="0" applyFont="1" applyFill="1" applyBorder="1" applyAlignment="1">
      <alignment vertical="center"/>
    </xf>
    <xf numFmtId="0" fontId="24" fillId="20" borderId="15" xfId="0" applyFont="1" applyFill="1" applyBorder="1" applyAlignment="1">
      <alignment vertical="center"/>
    </xf>
    <xf numFmtId="0" fontId="24" fillId="20" borderId="13" xfId="0" applyFont="1" applyFill="1" applyBorder="1" applyAlignment="1">
      <alignment vertical="center"/>
    </xf>
    <xf numFmtId="0" fontId="24" fillId="20" borderId="22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4" borderId="4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textRotation="90" wrapText="1"/>
    </xf>
    <xf numFmtId="0" fontId="11" fillId="7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1" fontId="9" fillId="6" borderId="0" xfId="0" applyNumberFormat="1" applyFont="1" applyFill="1" applyAlignment="1">
      <alignment horizontal="center" vertical="center"/>
    </xf>
    <xf numFmtId="0" fontId="11" fillId="9" borderId="5" xfId="0" applyFont="1" applyFill="1" applyBorder="1" applyAlignment="1">
      <alignment horizontal="center" vertical="center"/>
    </xf>
    <xf numFmtId="0" fontId="11" fillId="9" borderId="6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1" fontId="9" fillId="6" borderId="8" xfId="0" applyNumberFormat="1" applyFont="1" applyFill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16" fontId="20" fillId="13" borderId="14" xfId="0" applyNumberFormat="1" applyFont="1" applyFill="1" applyBorder="1" applyAlignment="1">
      <alignment horizontal="center" vertical="center"/>
    </xf>
    <xf numFmtId="0" fontId="20" fillId="13" borderId="16" xfId="0" applyFont="1" applyFill="1" applyBorder="1" applyAlignment="1">
      <alignment horizontal="center" vertical="center"/>
    </xf>
    <xf numFmtId="0" fontId="20" fillId="13" borderId="18" xfId="0" applyFont="1" applyFill="1" applyBorder="1" applyAlignment="1">
      <alignment horizontal="center" vertical="center"/>
    </xf>
    <xf numFmtId="0" fontId="20" fillId="13" borderId="19" xfId="0" applyFont="1" applyFill="1" applyBorder="1" applyAlignment="1">
      <alignment horizontal="center" vertical="center"/>
    </xf>
    <xf numFmtId="0" fontId="20" fillId="13" borderId="14" xfId="0" applyFont="1" applyFill="1" applyBorder="1" applyAlignment="1">
      <alignment horizontal="center" vertical="center"/>
    </xf>
    <xf numFmtId="0" fontId="18" fillId="0" borderId="17" xfId="0" applyFont="1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18" fillId="14" borderId="9" xfId="0" applyFont="1" applyFill="1" applyBorder="1" applyAlignment="1">
      <alignment horizontal="center" vertical="center"/>
    </xf>
    <xf numFmtId="0" fontId="18" fillId="14" borderId="11" xfId="0" applyFont="1" applyFill="1" applyBorder="1" applyAlignment="1">
      <alignment horizontal="center" vertical="center"/>
    </xf>
    <xf numFmtId="0" fontId="18" fillId="14" borderId="10" xfId="0" applyFont="1" applyFill="1" applyBorder="1" applyAlignment="1">
      <alignment horizontal="center" vertical="center"/>
    </xf>
    <xf numFmtId="0" fontId="18" fillId="14" borderId="12" xfId="0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2" fontId="5" fillId="4" borderId="4" xfId="1" applyNumberFormat="1" applyFont="1" applyFill="1" applyBorder="1" applyAlignment="1">
      <alignment horizontal="center" vertical="center"/>
    </xf>
    <xf numFmtId="0" fontId="3" fillId="3" borderId="0" xfId="1" applyFont="1" applyFill="1" applyAlignment="1">
      <alignment horizontal="center" vertical="center"/>
    </xf>
    <xf numFmtId="0" fontId="4" fillId="0" borderId="0" xfId="1" applyFont="1" applyAlignment="1">
      <alignment horizontal="right" vertical="center"/>
    </xf>
    <xf numFmtId="0" fontId="26" fillId="0" borderId="0" xfId="1" applyFont="1"/>
    <xf numFmtId="0" fontId="27" fillId="0" borderId="0" xfId="1" applyFont="1" applyAlignment="1">
      <alignment vertical="center"/>
    </xf>
    <xf numFmtId="0" fontId="27" fillId="0" borderId="23" xfId="1" applyFont="1" applyBorder="1" applyAlignment="1">
      <alignment horizontal="center" vertical="center"/>
    </xf>
    <xf numFmtId="0" fontId="28" fillId="0" borderId="0" xfId="1" applyFont="1" applyAlignment="1">
      <alignment horizont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CC1DA"/>
      <rgbColor rgb="FF808080"/>
      <rgbColor rgb="FF9999FF"/>
      <rgbColor rgb="FF7030A0"/>
      <rgbColor rgb="FFFFF2CC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BE5D6"/>
      <rgbColor rgb="FF99CCFF"/>
      <rgbColor rgb="FFFF99CC"/>
      <rgbColor rgb="FFCC99FF"/>
      <rgbColor rgb="FFFCD5B5"/>
      <rgbColor rgb="FF2E75B6"/>
      <rgbColor rgb="FF33CCCC"/>
      <rgbColor rgb="FF99CC00"/>
      <rgbColor rgb="FFFFCC00"/>
      <rgbColor rgb="FFBF9000"/>
      <rgbColor rgb="FFED7D31"/>
      <rgbColor rgb="FF666699"/>
      <rgbColor rgb="FFB0B0B0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A1:I1000"/>
  <sheetViews>
    <sheetView zoomScale="145" zoomScaleNormal="145" workbookViewId="0">
      <pane ySplit="1" topLeftCell="A2" activePane="bottomLeft" state="frozen"/>
      <selection pane="bottomLeft" activeCell="C5" sqref="C5"/>
    </sheetView>
  </sheetViews>
  <sheetFormatPr defaultColWidth="14.453125" defaultRowHeight="14.5" x14ac:dyDescent="0.35"/>
  <cols>
    <col min="1" max="1" width="3" customWidth="1"/>
    <col min="2" max="2" width="22" customWidth="1"/>
    <col min="3" max="3" width="16" customWidth="1"/>
    <col min="4" max="4" width="4" customWidth="1"/>
    <col min="5" max="5" width="22" customWidth="1"/>
    <col min="6" max="6" width="16" customWidth="1"/>
    <col min="7" max="7" width="4" customWidth="1"/>
    <col min="8" max="8" width="22" customWidth="1"/>
    <col min="9" max="9" width="16" customWidth="1"/>
    <col min="10" max="26" width="8.6328125" customWidth="1"/>
  </cols>
  <sheetData>
    <row r="1" spans="1:9" ht="31.5" customHeight="1" x14ac:dyDescent="0.35">
      <c r="A1" s="67" t="s">
        <v>0</v>
      </c>
      <c r="B1" s="67"/>
      <c r="C1" s="67"/>
      <c r="D1" s="67"/>
      <c r="E1" s="67"/>
      <c r="F1" s="67"/>
      <c r="G1" s="67"/>
      <c r="H1" s="67"/>
      <c r="I1" s="67"/>
    </row>
    <row r="3" spans="1:9" ht="14.25" customHeight="1" x14ac:dyDescent="0.35">
      <c r="B3" s="68" t="s">
        <v>1</v>
      </c>
      <c r="C3" s="68"/>
      <c r="E3" s="68" t="s">
        <v>2</v>
      </c>
      <c r="F3" s="68"/>
      <c r="H3" s="68" t="s">
        <v>3</v>
      </c>
      <c r="I3" s="68"/>
    </row>
    <row r="4" spans="1:9" ht="14.25" customHeight="1" x14ac:dyDescent="0.35">
      <c r="B4" s="1" t="s">
        <v>101</v>
      </c>
      <c r="C4" s="2">
        <v>12</v>
      </c>
      <c r="E4" s="1" t="s">
        <v>4</v>
      </c>
      <c r="F4" s="38">
        <v>0.03</v>
      </c>
      <c r="H4" s="1" t="s">
        <v>5</v>
      </c>
      <c r="I4" s="3">
        <v>1</v>
      </c>
    </row>
    <row r="5" spans="1:9" ht="14.25" customHeight="1" x14ac:dyDescent="0.35">
      <c r="B5" s="1" t="s">
        <v>6</v>
      </c>
      <c r="C5" s="2">
        <v>100</v>
      </c>
      <c r="E5" s="1" t="s">
        <v>7</v>
      </c>
      <c r="F5" s="2">
        <v>100</v>
      </c>
      <c r="H5" s="1" t="s">
        <v>8</v>
      </c>
      <c r="I5" s="2"/>
    </row>
    <row r="6" spans="1:9" ht="14.25" customHeight="1" x14ac:dyDescent="0.35">
      <c r="B6" s="1" t="s">
        <v>9</v>
      </c>
      <c r="C6" s="2">
        <v>10</v>
      </c>
      <c r="E6" s="1" t="s">
        <v>10</v>
      </c>
      <c r="F6" s="2" t="s">
        <v>11</v>
      </c>
      <c r="H6" s="1" t="s">
        <v>12</v>
      </c>
      <c r="I6" s="2"/>
    </row>
    <row r="7" spans="1:9" ht="14.25" customHeight="1" x14ac:dyDescent="0.35">
      <c r="B7" s="1" t="s">
        <v>13</v>
      </c>
      <c r="C7" s="3">
        <v>3</v>
      </c>
    </row>
    <row r="8" spans="1:9" ht="14.25" customHeight="1" x14ac:dyDescent="0.35">
      <c r="B8" s="1" t="s">
        <v>14</v>
      </c>
      <c r="C8" s="3">
        <v>1.2</v>
      </c>
    </row>
    <row r="10" spans="1:9" ht="14.25" customHeight="1" x14ac:dyDescent="0.35">
      <c r="B10" s="68" t="s">
        <v>15</v>
      </c>
      <c r="C10" s="68"/>
      <c r="D10" s="68"/>
      <c r="E10" s="68"/>
      <c r="F10" s="68"/>
    </row>
    <row r="11" spans="1:9" ht="14.25" customHeight="1" x14ac:dyDescent="0.35">
      <c r="B11" s="4" t="s">
        <v>16</v>
      </c>
      <c r="C11" s="4" t="s">
        <v>17</v>
      </c>
      <c r="E11" s="69" t="s">
        <v>18</v>
      </c>
      <c r="F11" s="69"/>
    </row>
    <row r="12" spans="1:9" ht="14.25" customHeight="1" x14ac:dyDescent="0.35">
      <c r="B12" s="5" t="s">
        <v>102</v>
      </c>
      <c r="C12" s="3">
        <v>10</v>
      </c>
      <c r="E12" s="70" t="s">
        <v>19</v>
      </c>
      <c r="F12" s="70"/>
    </row>
    <row r="13" spans="1:9" ht="14.25" customHeight="1" x14ac:dyDescent="0.35">
      <c r="B13" s="5" t="s">
        <v>95</v>
      </c>
      <c r="C13" s="3">
        <v>79</v>
      </c>
      <c r="E13" s="70" t="s">
        <v>20</v>
      </c>
      <c r="F13" s="70"/>
    </row>
    <row r="14" spans="1:9" ht="14.25" customHeight="1" x14ac:dyDescent="0.35">
      <c r="B14" s="5"/>
      <c r="C14" s="3"/>
      <c r="E14" s="70" t="s">
        <v>21</v>
      </c>
      <c r="F14" s="70"/>
    </row>
    <row r="15" spans="1:9" ht="14.25" customHeight="1" x14ac:dyDescent="0.35">
      <c r="B15" s="5" t="s">
        <v>22</v>
      </c>
      <c r="C15" s="3">
        <v>1000</v>
      </c>
      <c r="E15" s="70" t="s">
        <v>23</v>
      </c>
      <c r="F15" s="70"/>
    </row>
    <row r="16" spans="1:9" ht="14.25" customHeight="1" x14ac:dyDescent="0.35">
      <c r="B16" s="5"/>
      <c r="C16" s="2"/>
      <c r="E16" s="70"/>
      <c r="F16" s="70"/>
    </row>
    <row r="17" spans="2:6" ht="14.25" customHeight="1" x14ac:dyDescent="0.35">
      <c r="B17" s="5"/>
      <c r="C17" s="2"/>
      <c r="E17" s="70"/>
      <c r="F17" s="70"/>
    </row>
    <row r="18" spans="2:6" ht="14.25" customHeight="1" x14ac:dyDescent="0.35">
      <c r="B18" s="5"/>
      <c r="C18" s="2"/>
      <c r="E18" s="70"/>
      <c r="F18" s="70"/>
    </row>
    <row r="19" spans="2:6" ht="14.25" customHeight="1" x14ac:dyDescent="0.35">
      <c r="B19" s="5"/>
      <c r="C19" s="2"/>
      <c r="E19" s="70"/>
      <c r="F19" s="70"/>
    </row>
    <row r="20" spans="2:6" ht="14.25" customHeight="1" x14ac:dyDescent="0.35">
      <c r="B20" s="1" t="s">
        <v>24</v>
      </c>
      <c r="C20" s="2">
        <v>4</v>
      </c>
      <c r="E20" s="6" t="s">
        <v>25</v>
      </c>
    </row>
    <row r="21" spans="2:6" ht="15.75" customHeight="1" x14ac:dyDescent="0.35"/>
    <row r="22" spans="2:6" ht="15.75" customHeight="1" x14ac:dyDescent="0.35">
      <c r="B22" s="68" t="s">
        <v>26</v>
      </c>
      <c r="C22" s="68"/>
      <c r="D22" s="68"/>
      <c r="E22" s="68"/>
      <c r="F22" s="68"/>
    </row>
    <row r="23" spans="2:6" ht="15.75" customHeight="1" x14ac:dyDescent="0.35">
      <c r="B23" s="1" t="s">
        <v>27</v>
      </c>
      <c r="C23" s="7">
        <f>C5*C4</f>
        <v>1200</v>
      </c>
    </row>
    <row r="24" spans="2:6" ht="15.75" customHeight="1" x14ac:dyDescent="0.35">
      <c r="B24" s="1" t="s">
        <v>28</v>
      </c>
      <c r="C24" s="7">
        <f>C5*C4*C8</f>
        <v>1440</v>
      </c>
    </row>
    <row r="25" spans="2:6" ht="15.75" customHeight="1" x14ac:dyDescent="0.35">
      <c r="B25" s="1" t="s">
        <v>29</v>
      </c>
      <c r="C25" s="8">
        <f>((C5*C4)*C7)/1000/I4</f>
        <v>3.6</v>
      </c>
    </row>
    <row r="26" spans="2:6" ht="15.75" customHeight="1" x14ac:dyDescent="0.35">
      <c r="B26" s="1" t="s">
        <v>30</v>
      </c>
      <c r="C26" s="7">
        <f>(C6*C4)/2</f>
        <v>60</v>
      </c>
    </row>
    <row r="27" spans="2:6" ht="15.75" customHeight="1" x14ac:dyDescent="0.35">
      <c r="B27" s="1" t="s">
        <v>31</v>
      </c>
      <c r="C27" s="7">
        <f>(C6*C4)/2</f>
        <v>60</v>
      </c>
    </row>
    <row r="28" spans="2:6" ht="15.75" customHeight="1" x14ac:dyDescent="0.35">
      <c r="B28" s="1" t="s">
        <v>32</v>
      </c>
      <c r="C28" s="7">
        <f>F5*C4</f>
        <v>1200</v>
      </c>
    </row>
    <row r="29" spans="2:6" ht="15.75" customHeight="1" x14ac:dyDescent="0.35">
      <c r="B29" s="1" t="s">
        <v>33</v>
      </c>
      <c r="C29" s="9">
        <f>F4*C4</f>
        <v>0.36</v>
      </c>
    </row>
    <row r="30" spans="2:6" ht="15.75" customHeight="1" x14ac:dyDescent="0.35"/>
    <row r="31" spans="2:6" ht="15.75" customHeight="1" x14ac:dyDescent="0.35">
      <c r="B31" s="71" t="s">
        <v>34</v>
      </c>
      <c r="C31" s="71"/>
      <c r="D31" s="71"/>
      <c r="E31" s="71"/>
      <c r="F31" s="71"/>
    </row>
    <row r="32" spans="2:6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6">
    <mergeCell ref="B31:F31"/>
    <mergeCell ref="E16:F16"/>
    <mergeCell ref="E17:F17"/>
    <mergeCell ref="E18:F18"/>
    <mergeCell ref="E19:F19"/>
    <mergeCell ref="B22:F22"/>
    <mergeCell ref="E11:F11"/>
    <mergeCell ref="E12:F12"/>
    <mergeCell ref="E13:F13"/>
    <mergeCell ref="E14:F14"/>
    <mergeCell ref="E15:F15"/>
    <mergeCell ref="A1:I1"/>
    <mergeCell ref="B3:C3"/>
    <mergeCell ref="E3:F3"/>
    <mergeCell ref="H3:I3"/>
    <mergeCell ref="B10:F10"/>
  </mergeCells>
  <pageMargins left="0.25" right="0.25" top="0.75" bottom="0.75" header="0.511811023622047" footer="0.511811023622047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D7D31"/>
    <pageSetUpPr fitToPage="1"/>
  </sheetPr>
  <dimension ref="A1:F999"/>
  <sheetViews>
    <sheetView zoomScaleNormal="100" workbookViewId="0">
      <pane ySplit="1" topLeftCell="A2" activePane="bottomLeft" state="frozen"/>
      <selection pane="bottomLeft" activeCell="C5" sqref="C5"/>
    </sheetView>
  </sheetViews>
  <sheetFormatPr defaultColWidth="14.453125" defaultRowHeight="14.5" x14ac:dyDescent="0.35"/>
  <cols>
    <col min="1" max="1" width="3" customWidth="1"/>
    <col min="2" max="2" width="30" customWidth="1"/>
    <col min="3" max="3" width="16" customWidth="1"/>
    <col min="4" max="4" width="4" customWidth="1"/>
    <col min="5" max="5" width="30" customWidth="1"/>
    <col min="6" max="6" width="16" customWidth="1"/>
    <col min="7" max="26" width="8.6328125" customWidth="1"/>
  </cols>
  <sheetData>
    <row r="1" spans="1:6" ht="31.5" customHeight="1" x14ac:dyDescent="0.35">
      <c r="A1" s="67" t="s">
        <v>49</v>
      </c>
      <c r="B1" s="67"/>
      <c r="C1" s="67"/>
      <c r="D1" s="67"/>
      <c r="E1" s="67"/>
      <c r="F1" s="67"/>
    </row>
    <row r="3" spans="1:6" ht="14.25" customHeight="1" x14ac:dyDescent="0.35">
      <c r="B3" s="68" t="s">
        <v>50</v>
      </c>
      <c r="C3" s="68"/>
      <c r="E3" s="68" t="s">
        <v>51</v>
      </c>
      <c r="F3" s="68"/>
    </row>
    <row r="4" spans="1:6" ht="14.25" customHeight="1" x14ac:dyDescent="0.35">
      <c r="B4" s="1" t="s">
        <v>52</v>
      </c>
      <c r="C4" s="10">
        <v>8</v>
      </c>
      <c r="E4" s="1" t="s">
        <v>53</v>
      </c>
      <c r="F4" s="7">
        <f>Setup!F5*Setup!C4*Setup!C8*C4</f>
        <v>11520</v>
      </c>
    </row>
    <row r="5" spans="1:6" ht="14.25" customHeight="1" x14ac:dyDescent="0.35">
      <c r="B5" s="1" t="s">
        <v>54</v>
      </c>
      <c r="C5" s="8">
        <f>((Setup!C5*Setup!C4)*Setup!C7)/1000/Setup!I4</f>
        <v>3.6</v>
      </c>
      <c r="E5" s="1" t="s">
        <v>55</v>
      </c>
      <c r="F5" s="8">
        <f>Setup!F4*Setup!C4*Setup!C8*C4</f>
        <v>3.456</v>
      </c>
    </row>
    <row r="6" spans="1:6" ht="14.25" customHeight="1" x14ac:dyDescent="0.35">
      <c r="B6" s="1" t="s">
        <v>56</v>
      </c>
      <c r="C6" s="8">
        <f>C5*C4*Setup!C8</f>
        <v>34.56</v>
      </c>
      <c r="E6" s="1" t="s">
        <v>57</v>
      </c>
      <c r="F6" s="7">
        <f>Setup!F5*Setup!C4</f>
        <v>1200</v>
      </c>
    </row>
    <row r="7" spans="1:6" ht="14.25" customHeight="1" x14ac:dyDescent="0.35">
      <c r="B7" s="1" t="s">
        <v>58</v>
      </c>
      <c r="C7" s="7">
        <f>(Setup!C6*Setup!C4)/2</f>
        <v>60</v>
      </c>
    </row>
    <row r="8" spans="1:6" ht="14.25" customHeight="1" x14ac:dyDescent="0.35">
      <c r="B8" s="1" t="s">
        <v>59</v>
      </c>
      <c r="C8" s="7">
        <f>C7*C4*Setup!C8</f>
        <v>576</v>
      </c>
    </row>
    <row r="11" spans="1:6" ht="14.25" customHeight="1" x14ac:dyDescent="0.35">
      <c r="B11" s="68" t="s">
        <v>60</v>
      </c>
      <c r="C11" s="68"/>
      <c r="D11" s="68"/>
      <c r="E11" s="68"/>
      <c r="F11" s="68"/>
    </row>
    <row r="12" spans="1:6" ht="14.25" customHeight="1" x14ac:dyDescent="0.35">
      <c r="B12" s="21" t="s">
        <v>61</v>
      </c>
    </row>
    <row r="13" spans="1:6" ht="14.25" customHeight="1" x14ac:dyDescent="0.35">
      <c r="B13" s="21" t="s">
        <v>62</v>
      </c>
    </row>
    <row r="14" spans="1:6" ht="14.25" customHeight="1" x14ac:dyDescent="0.35">
      <c r="B14" s="21" t="s">
        <v>63</v>
      </c>
    </row>
    <row r="15" spans="1:6" ht="14.25" customHeight="1" x14ac:dyDescent="0.35">
      <c r="B15" s="21" t="s">
        <v>64</v>
      </c>
    </row>
    <row r="16" spans="1:6" ht="14.25" customHeight="1" x14ac:dyDescent="0.35">
      <c r="B16" s="21" t="s">
        <v>65</v>
      </c>
    </row>
    <row r="17" spans="2:2" ht="14.25" customHeight="1" x14ac:dyDescent="0.35">
      <c r="B17" s="21" t="s">
        <v>66</v>
      </c>
    </row>
    <row r="18" spans="2:2" ht="14.25" customHeight="1" x14ac:dyDescent="0.35">
      <c r="B18" s="21" t="s">
        <v>67</v>
      </c>
    </row>
    <row r="20" spans="2:2" ht="15.75" customHeight="1" x14ac:dyDescent="0.35"/>
    <row r="21" spans="2:2" ht="15.75" customHeight="1" x14ac:dyDescent="0.35"/>
    <row r="22" spans="2:2" ht="15.75" customHeight="1" x14ac:dyDescent="0.35"/>
    <row r="23" spans="2:2" ht="15.75" customHeight="1" x14ac:dyDescent="0.35"/>
    <row r="24" spans="2:2" ht="15.75" customHeight="1" x14ac:dyDescent="0.35"/>
    <row r="25" spans="2:2" ht="15.75" customHeight="1" x14ac:dyDescent="0.35"/>
    <row r="26" spans="2:2" ht="15.75" customHeight="1" x14ac:dyDescent="0.35"/>
    <row r="27" spans="2:2" ht="15.75" customHeight="1" x14ac:dyDescent="0.35"/>
    <row r="28" spans="2:2" ht="15.75" customHeight="1" x14ac:dyDescent="0.35"/>
    <row r="29" spans="2:2" ht="15.75" customHeight="1" x14ac:dyDescent="0.35"/>
    <row r="30" spans="2:2" ht="15.75" customHeight="1" x14ac:dyDescent="0.35"/>
    <row r="31" spans="2:2" ht="15.75" customHeight="1" x14ac:dyDescent="0.35"/>
    <row r="32" spans="2: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</sheetData>
  <mergeCells count="4">
    <mergeCell ref="A1:F1"/>
    <mergeCell ref="B3:C3"/>
    <mergeCell ref="E3:F3"/>
    <mergeCell ref="B11:F11"/>
  </mergeCells>
  <pageMargins left="0.75" right="0.75" top="1" bottom="1" header="0.511811023622047" footer="0.511811023622047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  <pageSetUpPr fitToPage="1"/>
  </sheetPr>
  <dimension ref="A1:Z988"/>
  <sheetViews>
    <sheetView zoomScale="115" zoomScaleNormal="115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C48" sqref="C48"/>
    </sheetView>
  </sheetViews>
  <sheetFormatPr defaultColWidth="14.453125" defaultRowHeight="14.5" x14ac:dyDescent="0.35"/>
  <cols>
    <col min="1" max="2" width="3" customWidth="1"/>
    <col min="3" max="3" width="15" customWidth="1"/>
    <col min="4" max="4" width="8" customWidth="1"/>
    <col min="5" max="6" width="10" customWidth="1"/>
    <col min="7" max="7" width="2" customWidth="1"/>
    <col min="8" max="8" width="15" customWidth="1"/>
    <col min="9" max="9" width="8" customWidth="1"/>
    <col min="10" max="11" width="10" customWidth="1"/>
    <col min="12" max="12" width="2" customWidth="1"/>
    <col min="13" max="13" width="15" customWidth="1"/>
    <col min="14" max="14" width="8" customWidth="1"/>
    <col min="15" max="16" width="10" customWidth="1"/>
    <col min="17" max="17" width="2" customWidth="1"/>
    <col min="18" max="18" width="15" customWidth="1"/>
    <col min="19" max="19" width="8" customWidth="1"/>
    <col min="20" max="20" width="10" customWidth="1"/>
    <col min="22" max="22" width="2" customWidth="1"/>
    <col min="23" max="23" width="15" customWidth="1"/>
    <col min="24" max="24" width="8" customWidth="1"/>
    <col min="25" max="25" width="10" customWidth="1"/>
    <col min="27" max="27" width="2" customWidth="1"/>
  </cols>
  <sheetData>
    <row r="1" spans="1:26" ht="31.5" customHeight="1" x14ac:dyDescent="0.35">
      <c r="A1" s="67" t="s">
        <v>35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</row>
    <row r="3" spans="1:26" ht="14.25" customHeight="1" x14ac:dyDescent="0.35">
      <c r="C3" s="68" t="s">
        <v>36</v>
      </c>
      <c r="D3" s="68"/>
      <c r="E3" s="68"/>
      <c r="F3" s="68"/>
    </row>
    <row r="4" spans="1:26" ht="14.25" customHeight="1" x14ac:dyDescent="0.35">
      <c r="C4" s="1" t="s">
        <v>37</v>
      </c>
      <c r="F4" s="2">
        <v>4</v>
      </c>
      <c r="G4" s="72" t="s">
        <v>38</v>
      </c>
      <c r="H4" s="72"/>
      <c r="I4" s="72"/>
      <c r="J4" s="72"/>
      <c r="K4" s="72"/>
      <c r="L4" s="72"/>
    </row>
    <row r="5" spans="1:26" ht="14.25" customHeight="1" x14ac:dyDescent="0.35">
      <c r="C5" s="1" t="s">
        <v>39</v>
      </c>
      <c r="F5" s="2">
        <v>2</v>
      </c>
      <c r="G5" s="72" t="s">
        <v>40</v>
      </c>
      <c r="H5" s="72"/>
      <c r="I5" s="72"/>
      <c r="J5" s="72"/>
      <c r="K5" s="72"/>
      <c r="L5" s="72"/>
    </row>
    <row r="6" spans="1:26" ht="14.25" customHeight="1" x14ac:dyDescent="0.35">
      <c r="C6" s="1" t="s">
        <v>41</v>
      </c>
      <c r="F6" s="32">
        <v>8</v>
      </c>
      <c r="G6" s="72" t="s">
        <v>42</v>
      </c>
      <c r="H6" s="72"/>
      <c r="I6" s="72"/>
      <c r="J6" s="72"/>
      <c r="K6" s="72"/>
      <c r="L6" s="72"/>
      <c r="M6" s="72"/>
      <c r="N6" s="72"/>
      <c r="O6" s="72"/>
    </row>
    <row r="8" spans="1:26" ht="14.25" customHeight="1" x14ac:dyDescent="0.35">
      <c r="C8" s="73" t="s">
        <v>43</v>
      </c>
      <c r="D8" s="73"/>
      <c r="E8" s="73"/>
      <c r="F8" s="73"/>
      <c r="H8" s="73" t="s">
        <v>105</v>
      </c>
      <c r="I8" s="73"/>
      <c r="J8" s="73"/>
      <c r="K8" s="73"/>
      <c r="M8" s="73" t="s">
        <v>106</v>
      </c>
      <c r="N8" s="73"/>
      <c r="O8" s="73"/>
      <c r="P8" s="73"/>
      <c r="R8" s="73" t="s">
        <v>107</v>
      </c>
      <c r="S8" s="73"/>
      <c r="T8" s="73"/>
      <c r="U8" s="73"/>
      <c r="W8" s="73" t="s">
        <v>44</v>
      </c>
      <c r="X8" s="73"/>
      <c r="Y8" s="73"/>
      <c r="Z8" s="73"/>
    </row>
    <row r="9" spans="1:26" ht="15" customHeight="1" x14ac:dyDescent="0.35">
      <c r="A9" s="74" t="s">
        <v>103</v>
      </c>
      <c r="B9" s="74"/>
      <c r="C9" s="75" t="str">
        <f>"A1: "&amp;C8</f>
        <v>A1: no receptor</v>
      </c>
      <c r="D9" s="75"/>
      <c r="E9" s="75"/>
      <c r="F9" s="75"/>
      <c r="H9" s="75" t="str">
        <f>"A2: "&amp;H8</f>
        <v>A2: low hibit</v>
      </c>
      <c r="I9" s="75"/>
      <c r="J9" s="75"/>
      <c r="K9" s="75"/>
      <c r="M9" s="75" t="str">
        <f>"A3: "&amp;M8</f>
        <v>A3: med hibit</v>
      </c>
      <c r="N9" s="75"/>
      <c r="O9" s="75"/>
      <c r="P9" s="75"/>
      <c r="R9" s="75" t="str">
        <f>"A4: "&amp;R8</f>
        <v>A4: high hibit</v>
      </c>
      <c r="S9" s="75"/>
      <c r="T9" s="75"/>
      <c r="U9" s="75"/>
      <c r="W9" s="75" t="str">
        <f>"A5: "&amp;W8</f>
        <v>A5: Condition 5</v>
      </c>
      <c r="X9" s="75"/>
      <c r="Y9" s="75"/>
      <c r="Z9" s="75"/>
    </row>
    <row r="10" spans="1:26" ht="14.25" customHeight="1" x14ac:dyDescent="0.35">
      <c r="A10" s="74"/>
      <c r="B10" s="74"/>
      <c r="C10" s="11" t="s">
        <v>16</v>
      </c>
      <c r="D10" s="11" t="s">
        <v>45</v>
      </c>
      <c r="E10" s="11" t="s">
        <v>46</v>
      </c>
      <c r="F10" s="11" t="s">
        <v>47</v>
      </c>
      <c r="H10" s="11" t="s">
        <v>16</v>
      </c>
      <c r="I10" s="11" t="s">
        <v>45</v>
      </c>
      <c r="J10" s="11" t="s">
        <v>46</v>
      </c>
      <c r="K10" s="11" t="s">
        <v>47</v>
      </c>
      <c r="M10" s="11" t="s">
        <v>16</v>
      </c>
      <c r="N10" s="11" t="s">
        <v>45</v>
      </c>
      <c r="O10" s="11" t="s">
        <v>46</v>
      </c>
      <c r="P10" s="11" t="s">
        <v>47</v>
      </c>
      <c r="R10" s="11" t="s">
        <v>16</v>
      </c>
      <c r="S10" s="11" t="s">
        <v>45</v>
      </c>
      <c r="T10" s="11" t="s">
        <v>46</v>
      </c>
      <c r="U10" s="11" t="s">
        <v>47</v>
      </c>
      <c r="W10" s="11" t="s">
        <v>16</v>
      </c>
      <c r="X10" s="11" t="s">
        <v>45</v>
      </c>
      <c r="Y10" s="11" t="s">
        <v>46</v>
      </c>
      <c r="Z10" s="11" t="s">
        <v>47</v>
      </c>
    </row>
    <row r="11" spans="1:26" ht="14.25" customHeight="1" x14ac:dyDescent="0.35">
      <c r="A11" s="74"/>
      <c r="B11" s="74"/>
      <c r="C11" s="12" t="str">
        <f>Setup!B12</f>
        <v>HiBiT-AT1R</v>
      </c>
      <c r="D11" s="2">
        <v>0</v>
      </c>
      <c r="E11" s="13">
        <f>IF(D11="",0,(Setup!C5*Setup!C4)*D11/100)</f>
        <v>0</v>
      </c>
      <c r="F11" s="8" t="str">
        <f>IF(OR(Setup!C12="",Setup!C12=0,E11=0),"—",E11/Setup!C12)</f>
        <v>—</v>
      </c>
      <c r="H11" s="12" t="str">
        <f>Setup!B12</f>
        <v>HiBiT-AT1R</v>
      </c>
      <c r="I11" s="2">
        <v>0.5</v>
      </c>
      <c r="J11" s="13">
        <f>IF(I11="",0,(Setup!C5*Setup!C4)*I11/100)</f>
        <v>6</v>
      </c>
      <c r="K11" s="8">
        <f>IF(OR(Setup!C12="",Setup!C12=0,J11=0),"—",J11/Setup!C12)</f>
        <v>0.6</v>
      </c>
      <c r="M11" s="12" t="str">
        <f>Setup!B12</f>
        <v>HiBiT-AT1R</v>
      </c>
      <c r="N11" s="2">
        <v>1</v>
      </c>
      <c r="O11" s="13">
        <f>IF(N11="",0,(Setup!C5*Setup!C4)*N11/100)</f>
        <v>12</v>
      </c>
      <c r="P11" s="8">
        <f>IF(OR(Setup!C12="",Setup!C12=0,O11=0),"—",O11/Setup!C12)</f>
        <v>1.2</v>
      </c>
      <c r="R11" s="12" t="str">
        <f>Setup!B12</f>
        <v>HiBiT-AT1R</v>
      </c>
      <c r="S11" s="2">
        <v>5</v>
      </c>
      <c r="T11" s="13">
        <f>IF(S11="",0,(Setup!C5*Setup!C4)*S11/100)</f>
        <v>60</v>
      </c>
      <c r="U11" s="8">
        <f>IF(OR(Setup!C12="",Setup!C12=0,T11=0),"—",T11/Setup!C12)</f>
        <v>6</v>
      </c>
      <c r="W11" s="12" t="str">
        <f>Setup!B12</f>
        <v>HiBiT-AT1R</v>
      </c>
      <c r="X11" s="2"/>
      <c r="Y11" s="13">
        <f>IF(X11="",0,(Setup!C5*Setup!C4)*X11/100)</f>
        <v>0</v>
      </c>
      <c r="Z11" s="8" t="str">
        <f>IF(OR(Setup!C12="",Setup!C12=0,Y11=0),"—",Y11/Setup!C12)</f>
        <v>—</v>
      </c>
    </row>
    <row r="12" spans="1:26" ht="14.25" customHeight="1" x14ac:dyDescent="0.35">
      <c r="A12" s="74"/>
      <c r="B12" s="74"/>
      <c r="C12" s="12" t="str">
        <f>Setup!B13</f>
        <v>arr3</v>
      </c>
      <c r="D12" s="2">
        <v>0</v>
      </c>
      <c r="E12" s="13">
        <f>IF(D12="",0,(Setup!C5*Setup!C4)*D12/100)</f>
        <v>0</v>
      </c>
      <c r="F12" s="8" t="str">
        <f>IF(OR(Setup!C13="",Setup!C13=0,E12=0),"—",E12/Setup!C13)</f>
        <v>—</v>
      </c>
      <c r="H12" s="12" t="str">
        <f>Setup!B13</f>
        <v>arr3</v>
      </c>
      <c r="I12" s="2">
        <v>0</v>
      </c>
      <c r="J12" s="13">
        <f>IF(I12="",0,(Setup!C5*Setup!C4)*I12/100)</f>
        <v>0</v>
      </c>
      <c r="K12" s="8" t="str">
        <f>IF(OR(Setup!C13="",Setup!C13=0,J12=0),"—",J12/Setup!C13)</f>
        <v>—</v>
      </c>
      <c r="M12" s="12" t="str">
        <f>Setup!B13</f>
        <v>arr3</v>
      </c>
      <c r="N12" s="2">
        <v>0</v>
      </c>
      <c r="O12" s="13">
        <f>IF(N12="",0,(Setup!C5*Setup!C4)*N12/100)</f>
        <v>0</v>
      </c>
      <c r="P12" s="8" t="str">
        <f>IF(OR(Setup!C13="",Setup!C13=0,O12=0),"—",O12/Setup!C13)</f>
        <v>—</v>
      </c>
      <c r="R12" s="12" t="str">
        <f>Setup!B13</f>
        <v>arr3</v>
      </c>
      <c r="S12" s="2">
        <v>0</v>
      </c>
      <c r="T12" s="13">
        <f>IF(S12="",0,(Setup!C5*Setup!C4)*S12/100)</f>
        <v>0</v>
      </c>
      <c r="U12" s="8" t="str">
        <f>IF(OR(Setup!C13="",Setup!C13=0,T12=0),"—",T12/Setup!C13)</f>
        <v>—</v>
      </c>
      <c r="W12" s="12" t="str">
        <f>Setup!B13</f>
        <v>arr3</v>
      </c>
      <c r="X12" s="2"/>
      <c r="Y12" s="13">
        <f>IF(X12="",0,(Setup!C5*Setup!C4)*X12/100)</f>
        <v>0</v>
      </c>
      <c r="Z12" s="8" t="str">
        <f>IF(OR(Setup!C13="",Setup!C13=0,Y12=0),"—",Y12/Setup!C13)</f>
        <v>—</v>
      </c>
    </row>
    <row r="13" spans="1:26" ht="14.25" customHeight="1" x14ac:dyDescent="0.35">
      <c r="A13" s="74"/>
      <c r="B13" s="74"/>
      <c r="C13" s="12">
        <f>Setup!B14</f>
        <v>0</v>
      </c>
      <c r="D13" s="2">
        <v>0</v>
      </c>
      <c r="E13" s="13">
        <f>IF(D13="",0,(Setup!C5*Setup!C4)*D13/100)</f>
        <v>0</v>
      </c>
      <c r="F13" s="8" t="str">
        <f>IF(OR(Setup!C14="",Setup!C14=0,E13=0),"—",E13/Setup!C14)</f>
        <v>—</v>
      </c>
      <c r="H13" s="12">
        <f>Setup!B14</f>
        <v>0</v>
      </c>
      <c r="I13" s="2">
        <v>0</v>
      </c>
      <c r="J13" s="13">
        <f>IF(I13="",0,(Setup!C5*Setup!C4)*I13/100)</f>
        <v>0</v>
      </c>
      <c r="K13" s="8" t="str">
        <f>IF(OR(Setup!C14="",Setup!C14=0,J13=0),"—",J13/Setup!C14)</f>
        <v>—</v>
      </c>
      <c r="M13" s="12">
        <f>Setup!B14</f>
        <v>0</v>
      </c>
      <c r="N13" s="2"/>
      <c r="O13" s="13">
        <f>IF(N13="",0,(Setup!C5*Setup!C4)*N13/100)</f>
        <v>0</v>
      </c>
      <c r="P13" s="8" t="str">
        <f>IF(OR(Setup!C14="",Setup!C14=0,O13=0),"—",O13/Setup!C14)</f>
        <v>—</v>
      </c>
      <c r="R13" s="12">
        <f>Setup!B14</f>
        <v>0</v>
      </c>
      <c r="S13" s="2"/>
      <c r="T13" s="13">
        <f>IF(S13="",0,(Setup!C5*Setup!C4)*S13/100)</f>
        <v>0</v>
      </c>
      <c r="U13" s="8" t="str">
        <f>IF(OR(Setup!C14="",Setup!C14=0,T13=0),"—",T13/Setup!C14)</f>
        <v>—</v>
      </c>
      <c r="W13" s="12">
        <f>Setup!B14</f>
        <v>0</v>
      </c>
      <c r="X13" s="2"/>
      <c r="Y13" s="13">
        <f>IF(X13="",0,(Setup!C5*Setup!C4)*X13/100)</f>
        <v>0</v>
      </c>
      <c r="Z13" s="8" t="str">
        <f>IF(OR(Setup!C14="",Setup!C14=0,Y13=0),"—",Y13/Setup!C14)</f>
        <v>—</v>
      </c>
    </row>
    <row r="14" spans="1:26" ht="14.25" customHeight="1" x14ac:dyDescent="0.35">
      <c r="A14" s="74"/>
      <c r="B14" s="74"/>
      <c r="C14" s="12" t="str">
        <f>Setup!B15</f>
        <v>pcDNA</v>
      </c>
      <c r="D14" s="13">
        <f>MAX(0,100-(IF(D11="",0,D11)+IF(D12="",0,D12)+IF(D13="",0,D13)+IF(D15="",0,D15)+IF(D16="",0,D16)+IF(D17="",0,D17)+IF(D18="",0,D18)))</f>
        <v>100</v>
      </c>
      <c r="E14" s="13">
        <f>IF(D14="",0,(Setup!C5*Setup!C4)*D14/100)</f>
        <v>1200</v>
      </c>
      <c r="F14" s="8">
        <f>IF(OR(Setup!C15="",Setup!C15=0,E14=0),"—",E14/Setup!C15)</f>
        <v>1.2</v>
      </c>
      <c r="H14" s="12" t="str">
        <f>Setup!B15</f>
        <v>pcDNA</v>
      </c>
      <c r="I14" s="13">
        <f>MAX(0,100-(IF(I11="",0,I11)+IF(I12="",0,I12)+IF(I13="",0,I13)+IF(I15="",0,I15)+IF(I16="",0,I16)+IF(I17="",0,I17)+IF(I18="",0,I18)))</f>
        <v>99.5</v>
      </c>
      <c r="J14" s="13">
        <f>IF(I14="",0,(Setup!C5*Setup!C4)*I14/100)</f>
        <v>1194</v>
      </c>
      <c r="K14" s="8">
        <f>IF(OR(Setup!C15="",Setup!C15=0,J14=0),"—",J14/Setup!C15)</f>
        <v>1.194</v>
      </c>
      <c r="M14" s="12" t="str">
        <f>Setup!B15</f>
        <v>pcDNA</v>
      </c>
      <c r="N14" s="13">
        <f>MAX(0,100-(IF(N11="",0,N11)+IF(N12="",0,N12)+IF(N13="",0,N13)+IF(N15="",0,N15)+IF(N16="",0,N16)+IF(N17="",0,N17)+IF(N18="",0,N18)))</f>
        <v>99</v>
      </c>
      <c r="O14" s="13">
        <f>IF(N14="",0,(Setup!C5*Setup!C4)*N14/100)</f>
        <v>1188</v>
      </c>
      <c r="P14" s="8">
        <f>IF(OR(Setup!C15="",Setup!C15=0,O14=0),"—",O14/Setup!C15)</f>
        <v>1.1879999999999999</v>
      </c>
      <c r="R14" s="12" t="str">
        <f>Setup!B15</f>
        <v>pcDNA</v>
      </c>
      <c r="S14" s="13">
        <f>MAX(0,100-(IF(S11="",0,S11)+IF(S12="",0,S12)+IF(S13="",0,S13)+IF(S15="",0,S15)+IF(S16="",0,S16)+IF(S17="",0,S17)+IF(S18="",0,S18)))</f>
        <v>95</v>
      </c>
      <c r="T14" s="13">
        <f>IF(S14="",0,(Setup!C5*Setup!C4)*S14/100)</f>
        <v>1140</v>
      </c>
      <c r="U14" s="8">
        <f>IF(OR(Setup!C15="",Setup!C15=0,T14=0),"—",T14/Setup!C15)</f>
        <v>1.1399999999999999</v>
      </c>
      <c r="W14" s="12" t="str">
        <f>Setup!B15</f>
        <v>pcDNA</v>
      </c>
      <c r="X14" s="13">
        <f>MAX(0,100-(IF(X11="",0,X11)+IF(X12="",0,X12)+IF(X13="",0,X13)+IF(X15="",0,X15)+IF(X16="",0,X16)+IF(X17="",0,X17)+IF(X18="",0,X18)))</f>
        <v>100</v>
      </c>
      <c r="Y14" s="13">
        <f>IF(X14="",0,(Setup!C5*Setup!C4)*X14/100)</f>
        <v>1200</v>
      </c>
      <c r="Z14" s="8">
        <f>IF(OR(Setup!C15="",Setup!C15=0,Y14=0),"—",Y14/Setup!C15)</f>
        <v>1.2</v>
      </c>
    </row>
    <row r="15" spans="1:26" ht="14.25" customHeight="1" x14ac:dyDescent="0.35">
      <c r="A15" s="74"/>
      <c r="B15" s="74"/>
      <c r="C15" s="12">
        <f>Setup!B16</f>
        <v>0</v>
      </c>
      <c r="D15" s="2"/>
      <c r="E15" s="13">
        <f>IF(D15="",0,(Setup!C5*Setup!C4)*D15/100)</f>
        <v>0</v>
      </c>
      <c r="F15" s="8" t="str">
        <f>IF(OR(Setup!C16="",Setup!C16=0,E15=0),"—",E15/Setup!C16)</f>
        <v>—</v>
      </c>
      <c r="H15" s="12">
        <f>Setup!B16</f>
        <v>0</v>
      </c>
      <c r="I15" s="2"/>
      <c r="J15" s="13">
        <f>IF(I15="",0,(Setup!C5*Setup!C4)*I15/100)</f>
        <v>0</v>
      </c>
      <c r="K15" s="8" t="str">
        <f>IF(OR(Setup!C16="",Setup!C16=0,J15=0),"—",J15/Setup!C16)</f>
        <v>—</v>
      </c>
      <c r="M15" s="12">
        <f>Setup!B16</f>
        <v>0</v>
      </c>
      <c r="N15" s="2"/>
      <c r="O15" s="13">
        <f>IF(N15="",0,(Setup!C5*Setup!C4)*N15/100)</f>
        <v>0</v>
      </c>
      <c r="P15" s="8" t="str">
        <f>IF(OR(Setup!C16="",Setup!C16=0,O15=0),"—",O15/Setup!C16)</f>
        <v>—</v>
      </c>
      <c r="R15" s="12">
        <f>Setup!B16</f>
        <v>0</v>
      </c>
      <c r="S15" s="2"/>
      <c r="T15" s="13">
        <f>IF(S15="",0,(Setup!C5*Setup!C4)*S15/100)</f>
        <v>0</v>
      </c>
      <c r="U15" s="8" t="str">
        <f>IF(OR(Setup!C16="",Setup!C16=0,T15=0),"—",T15/Setup!C16)</f>
        <v>—</v>
      </c>
      <c r="W15" s="12">
        <f>Setup!B16</f>
        <v>0</v>
      </c>
      <c r="X15" s="2"/>
      <c r="Y15" s="13">
        <f>IF(X15="",0,(Setup!C5*Setup!C4)*X15/100)</f>
        <v>0</v>
      </c>
      <c r="Z15" s="8" t="str">
        <f>IF(OR(Setup!C16="",Setup!C16=0,Y15=0),"—",Y15/Setup!C16)</f>
        <v>—</v>
      </c>
    </row>
    <row r="16" spans="1:26" ht="14.25" customHeight="1" x14ac:dyDescent="0.35">
      <c r="A16" s="74"/>
      <c r="B16" s="74"/>
      <c r="C16" s="12">
        <f>Setup!B17</f>
        <v>0</v>
      </c>
      <c r="D16" s="2"/>
      <c r="E16" s="13">
        <f>IF(D16="",0,(Setup!C5*Setup!C4)*D16/100)</f>
        <v>0</v>
      </c>
      <c r="F16" s="8" t="str">
        <f>IF(OR(Setup!C17="",Setup!C17=0,E16=0),"—",E16/Setup!C17)</f>
        <v>—</v>
      </c>
      <c r="H16" s="12">
        <f>Setup!B17</f>
        <v>0</v>
      </c>
      <c r="I16" s="2"/>
      <c r="J16" s="13">
        <f>IF(I16="",0,(Setup!C5*Setup!C4)*I16/100)</f>
        <v>0</v>
      </c>
      <c r="K16" s="8" t="str">
        <f>IF(OR(Setup!C17="",Setup!C17=0,J16=0),"—",J16/Setup!C17)</f>
        <v>—</v>
      </c>
      <c r="M16" s="12">
        <f>Setup!B17</f>
        <v>0</v>
      </c>
      <c r="N16" s="2"/>
      <c r="O16" s="13">
        <f>IF(N16="",0,(Setup!C5*Setup!C4)*N16/100)</f>
        <v>0</v>
      </c>
      <c r="P16" s="8" t="str">
        <f>IF(OR(Setup!C17="",Setup!C17=0,O16=0),"—",O16/Setup!C17)</f>
        <v>—</v>
      </c>
      <c r="R16" s="12">
        <f>Setup!B17</f>
        <v>0</v>
      </c>
      <c r="S16" s="2"/>
      <c r="T16" s="13">
        <f>IF(S16="",0,(Setup!C5*Setup!C4)*S16/100)</f>
        <v>0</v>
      </c>
      <c r="U16" s="8" t="str">
        <f>IF(OR(Setup!C17="",Setup!C17=0,T16=0),"—",T16/Setup!C17)</f>
        <v>—</v>
      </c>
      <c r="W16" s="12">
        <f>Setup!B17</f>
        <v>0</v>
      </c>
      <c r="X16" s="2"/>
      <c r="Y16" s="13">
        <f>IF(X16="",0,(Setup!C5*Setup!C4)*X16/100)</f>
        <v>0</v>
      </c>
      <c r="Z16" s="8" t="str">
        <f>IF(OR(Setup!C17="",Setup!C17=0,Y16=0),"—",Y16/Setup!C17)</f>
        <v>—</v>
      </c>
    </row>
    <row r="17" spans="1:26" ht="14.25" customHeight="1" x14ac:dyDescent="0.35">
      <c r="A17" s="74"/>
      <c r="B17" s="74"/>
      <c r="C17" s="12">
        <f>Setup!B18</f>
        <v>0</v>
      </c>
      <c r="D17" s="2"/>
      <c r="E17" s="13">
        <f>IF(D17="",0,(Setup!C5*Setup!C4)*D17/100)</f>
        <v>0</v>
      </c>
      <c r="F17" s="8" t="str">
        <f>IF(OR(Setup!C18="",Setup!C18=0,E17=0),"—",E17/Setup!C18)</f>
        <v>—</v>
      </c>
      <c r="H17" s="12">
        <f>Setup!B18</f>
        <v>0</v>
      </c>
      <c r="I17" s="2"/>
      <c r="J17" s="13">
        <f>IF(I17="",0,(Setup!C5*Setup!C4)*I17/100)</f>
        <v>0</v>
      </c>
      <c r="K17" s="8" t="str">
        <f>IF(OR(Setup!C18="",Setup!C18=0,J17=0),"—",J17/Setup!C18)</f>
        <v>—</v>
      </c>
      <c r="M17" s="12">
        <f>Setup!B18</f>
        <v>0</v>
      </c>
      <c r="N17" s="2"/>
      <c r="O17" s="13">
        <f>IF(N17="",0,(Setup!C5*Setup!C4)*N17/100)</f>
        <v>0</v>
      </c>
      <c r="P17" s="8" t="str">
        <f>IF(OR(Setup!C18="",Setup!C18=0,O17=0),"—",O17/Setup!C18)</f>
        <v>—</v>
      </c>
      <c r="R17" s="12">
        <f>Setup!B18</f>
        <v>0</v>
      </c>
      <c r="S17" s="2"/>
      <c r="T17" s="13">
        <f>IF(S17="",0,(Setup!C5*Setup!C4)*S17/100)</f>
        <v>0</v>
      </c>
      <c r="U17" s="8" t="str">
        <f>IF(OR(Setup!C18="",Setup!C18=0,T17=0),"—",T17/Setup!C18)</f>
        <v>—</v>
      </c>
      <c r="W17" s="12">
        <f>Setup!B18</f>
        <v>0</v>
      </c>
      <c r="X17" s="2"/>
      <c r="Y17" s="13">
        <f>IF(X17="",0,(Setup!C5*Setup!C4)*X17/100)</f>
        <v>0</v>
      </c>
      <c r="Z17" s="8" t="str">
        <f>IF(OR(Setup!C18="",Setup!C18=0,Y17=0),"—",Y17/Setup!C18)</f>
        <v>—</v>
      </c>
    </row>
    <row r="18" spans="1:26" ht="14.25" customHeight="1" x14ac:dyDescent="0.35">
      <c r="A18" s="74"/>
      <c r="B18" s="74"/>
      <c r="C18" s="12">
        <f>Setup!B19</f>
        <v>0</v>
      </c>
      <c r="D18" s="2"/>
      <c r="E18" s="13">
        <f>IF(D18="",0,(Setup!C5*Setup!C4)*D18/100)</f>
        <v>0</v>
      </c>
      <c r="F18" s="8" t="str">
        <f>IF(OR(Setup!C19="",Setup!C19=0,E18=0),"—",E18/Setup!C19)</f>
        <v>—</v>
      </c>
      <c r="H18" s="12">
        <f>Setup!B19</f>
        <v>0</v>
      </c>
      <c r="I18" s="2"/>
      <c r="J18" s="13">
        <f>IF(I18="",0,(Setup!C5*Setup!C4)*I18/100)</f>
        <v>0</v>
      </c>
      <c r="K18" s="8" t="str">
        <f>IF(OR(Setup!C19="",Setup!C19=0,J18=0),"—",J18/Setup!C19)</f>
        <v>—</v>
      </c>
      <c r="M18" s="12">
        <f>Setup!B19</f>
        <v>0</v>
      </c>
      <c r="N18" s="2"/>
      <c r="O18" s="13">
        <f>IF(N18="",0,(Setup!C5*Setup!C4)*N18/100)</f>
        <v>0</v>
      </c>
      <c r="P18" s="8" t="str">
        <f>IF(OR(Setup!C19="",Setup!C19=0,O18=0),"—",O18/Setup!C19)</f>
        <v>—</v>
      </c>
      <c r="R18" s="12">
        <f>Setup!B19</f>
        <v>0</v>
      </c>
      <c r="S18" s="2"/>
      <c r="T18" s="13">
        <f>IF(S18="",0,(Setup!C5*Setup!C4)*S18/100)</f>
        <v>0</v>
      </c>
      <c r="U18" s="8" t="str">
        <f>IF(OR(Setup!C19="",Setup!C19=0,T18=0),"—",T18/Setup!C19)</f>
        <v>—</v>
      </c>
      <c r="W18" s="12">
        <f>Setup!B19</f>
        <v>0</v>
      </c>
      <c r="X18" s="2"/>
      <c r="Y18" s="13">
        <f>IF(X18="",0,(Setup!C5*Setup!C4)*X18/100)</f>
        <v>0</v>
      </c>
      <c r="Z18" s="8" t="str">
        <f>IF(OR(Setup!C19="",Setup!C19=0,Y18=0),"—",Y18/Setup!C19)</f>
        <v>—</v>
      </c>
    </row>
    <row r="19" spans="1:26" ht="14.25" customHeight="1" x14ac:dyDescent="0.35">
      <c r="A19" s="74"/>
      <c r="B19" s="74"/>
      <c r="C19" s="14" t="s">
        <v>48</v>
      </c>
      <c r="D19" s="15">
        <f>SUMPRODUCT((D11:D18&lt;&gt;"")*(D11:D18))</f>
        <v>100</v>
      </c>
      <c r="E19" s="16">
        <f>SUM(E11:E18)</f>
        <v>1200</v>
      </c>
      <c r="F19" s="17">
        <f>SUM(F11:F18)</f>
        <v>1.2</v>
      </c>
      <c r="H19" s="14" t="s">
        <v>48</v>
      </c>
      <c r="I19" s="15">
        <f>SUMPRODUCT((I11:I18&lt;&gt;"")*(I11:I18))</f>
        <v>100</v>
      </c>
      <c r="J19" s="16">
        <f>SUM(J11:J18)</f>
        <v>1200</v>
      </c>
      <c r="K19" s="17">
        <f>SUM(K11:K18)</f>
        <v>1.794</v>
      </c>
      <c r="M19" s="14" t="s">
        <v>48</v>
      </c>
      <c r="N19" s="15">
        <f>SUMPRODUCT((N11:N18&lt;&gt;"")*(N11:N18))</f>
        <v>100</v>
      </c>
      <c r="O19" s="16">
        <f>SUM(O11:O18)</f>
        <v>1200</v>
      </c>
      <c r="P19" s="17">
        <f>SUM(P11:P18)</f>
        <v>2.3879999999999999</v>
      </c>
      <c r="R19" s="14" t="s">
        <v>48</v>
      </c>
      <c r="S19" s="15">
        <f>SUMPRODUCT((S11:S18&lt;&gt;"")*(S11:S18))</f>
        <v>100</v>
      </c>
      <c r="T19" s="16">
        <f>SUM(T11:T18)</f>
        <v>1200</v>
      </c>
      <c r="U19" s="17">
        <f>SUM(U11:U18)</f>
        <v>7.14</v>
      </c>
      <c r="W19" s="14" t="s">
        <v>48</v>
      </c>
      <c r="X19" s="15">
        <f>SUMPRODUCT((X11:X18&lt;&gt;"")*(X11:X18))</f>
        <v>100</v>
      </c>
      <c r="Y19" s="16">
        <f>SUM(Y11:Y18)</f>
        <v>1200</v>
      </c>
      <c r="Z19" s="17">
        <f>SUM(Z11:Z18)</f>
        <v>1.2</v>
      </c>
    </row>
    <row r="20" spans="1:26" ht="14.25" customHeight="1" x14ac:dyDescent="0.35">
      <c r="A20" s="74"/>
      <c r="B20" s="74"/>
      <c r="C20" s="76" t="str">
        <f>IF(D19=100,"✓ OK","⚠ ≠ 100%")</f>
        <v>✓ OK</v>
      </c>
      <c r="D20" s="76"/>
      <c r="E20" s="77">
        <f>Setup!C26</f>
        <v>60</v>
      </c>
      <c r="F20" s="77"/>
      <c r="H20" s="76" t="str">
        <f>IF(I19=100,"✓ OK","⚠ ≠ 100%")</f>
        <v>✓ OK</v>
      </c>
      <c r="I20" s="76"/>
      <c r="J20" s="77">
        <f>Setup!C26</f>
        <v>60</v>
      </c>
      <c r="K20" s="77"/>
      <c r="M20" s="76" t="str">
        <f>IF(N19=100,"✓ OK","⚠ ≠ 100%")</f>
        <v>✓ OK</v>
      </c>
      <c r="N20" s="76"/>
      <c r="O20" s="77">
        <f>Setup!C26</f>
        <v>60</v>
      </c>
      <c r="P20" s="77"/>
      <c r="R20" s="76" t="str">
        <f>IF(S19=100,"✓ OK","⚠ ≠ 100%")</f>
        <v>✓ OK</v>
      </c>
      <c r="S20" s="76"/>
      <c r="T20" s="77">
        <f>Setup!C26</f>
        <v>60</v>
      </c>
      <c r="U20" s="77"/>
      <c r="W20" s="76" t="str">
        <f>IF(X19=100,"✓ OK","⚠ ≠ 100%")</f>
        <v>✓ OK</v>
      </c>
      <c r="X20" s="76"/>
      <c r="Y20" s="77">
        <f>Setup!C26</f>
        <v>60</v>
      </c>
      <c r="Z20" s="77"/>
    </row>
    <row r="21" spans="1:26" ht="15.75" customHeight="1" x14ac:dyDescent="0.35"/>
    <row r="22" spans="1:26" ht="15" customHeight="1" x14ac:dyDescent="0.35">
      <c r="A22" s="74" t="s">
        <v>104</v>
      </c>
      <c r="B22" s="74"/>
      <c r="C22" s="78" t="str">
        <f>"C1: "&amp;C8</f>
        <v>C1: no receptor</v>
      </c>
      <c r="D22" s="78"/>
      <c r="E22" s="78"/>
      <c r="F22" s="78"/>
      <c r="H22" s="79" t="str">
        <f>"C2: "&amp;H8</f>
        <v>C2: low hibit</v>
      </c>
      <c r="I22" s="79"/>
      <c r="J22" s="79"/>
      <c r="K22" s="79"/>
      <c r="M22" s="79" t="str">
        <f>"C3: "&amp;M8</f>
        <v>C3: med hibit</v>
      </c>
      <c r="N22" s="79"/>
      <c r="O22" s="79"/>
      <c r="P22" s="79"/>
      <c r="R22" s="79" t="str">
        <f>"C4: "&amp;R8</f>
        <v>C4: high hibit</v>
      </c>
      <c r="S22" s="79"/>
      <c r="T22" s="79"/>
      <c r="U22" s="79"/>
      <c r="W22" s="79" t="str">
        <f>"C5: "&amp;W8</f>
        <v>C5: Condition 5</v>
      </c>
      <c r="X22" s="79"/>
      <c r="Y22" s="79"/>
      <c r="Z22" s="79"/>
    </row>
    <row r="23" spans="1:26" ht="15.75" customHeight="1" x14ac:dyDescent="0.35">
      <c r="A23" s="74"/>
      <c r="B23" s="74"/>
      <c r="C23" s="18" t="s">
        <v>16</v>
      </c>
      <c r="D23" s="18" t="s">
        <v>45</v>
      </c>
      <c r="E23" s="18" t="s">
        <v>46</v>
      </c>
      <c r="F23" s="18" t="s">
        <v>47</v>
      </c>
      <c r="H23" s="18" t="s">
        <v>16</v>
      </c>
      <c r="I23" s="18" t="s">
        <v>45</v>
      </c>
      <c r="J23" s="18" t="s">
        <v>46</v>
      </c>
      <c r="K23" s="18" t="s">
        <v>47</v>
      </c>
      <c r="M23" s="18" t="s">
        <v>16</v>
      </c>
      <c r="N23" s="18" t="s">
        <v>45</v>
      </c>
      <c r="O23" s="18" t="s">
        <v>46</v>
      </c>
      <c r="P23" s="18" t="s">
        <v>47</v>
      </c>
      <c r="R23" s="18" t="s">
        <v>16</v>
      </c>
      <c r="S23" s="18" t="s">
        <v>45</v>
      </c>
      <c r="T23" s="18" t="s">
        <v>46</v>
      </c>
      <c r="U23" s="18" t="s">
        <v>47</v>
      </c>
      <c r="W23" s="18" t="s">
        <v>16</v>
      </c>
      <c r="X23" s="18" t="s">
        <v>45</v>
      </c>
      <c r="Y23" s="18" t="s">
        <v>46</v>
      </c>
      <c r="Z23" s="18" t="s">
        <v>47</v>
      </c>
    </row>
    <row r="24" spans="1:26" ht="15.75" customHeight="1" x14ac:dyDescent="0.35">
      <c r="A24" s="74"/>
      <c r="B24" s="74"/>
      <c r="C24" s="19" t="str">
        <f>Setup!B12</f>
        <v>HiBiT-AT1R</v>
      </c>
      <c r="D24" s="2"/>
      <c r="E24" s="13">
        <f>IF(D24="",0,(Setup!C5*Setup!C4)*D24/100)</f>
        <v>0</v>
      </c>
      <c r="F24" s="8" t="str">
        <f>IF(OR(Setup!C12="",Setup!C12=0,E24=0),"—",E24/Setup!C12)</f>
        <v>—</v>
      </c>
      <c r="H24" s="19" t="str">
        <f>Setup!B12</f>
        <v>HiBiT-AT1R</v>
      </c>
      <c r="I24" s="2">
        <v>0.5</v>
      </c>
      <c r="J24" s="13">
        <f>IF(I24="",0,(Setup!C5*Setup!C4)*I24/100)</f>
        <v>6</v>
      </c>
      <c r="K24" s="8">
        <f>IF(OR(Setup!C12="",Setup!C12=0,J24=0),"—",J24/Setup!C12)</f>
        <v>0.6</v>
      </c>
      <c r="M24" s="19" t="str">
        <f>Setup!B12</f>
        <v>HiBiT-AT1R</v>
      </c>
      <c r="N24" s="2">
        <v>1</v>
      </c>
      <c r="O24" s="13">
        <f>IF(N24="",0,(Setup!C5*Setup!C4)*N24/100)</f>
        <v>12</v>
      </c>
      <c r="P24" s="8">
        <f>IF(OR(Setup!C12="",Setup!C12=0,O24=0),"—",O24/Setup!C12)</f>
        <v>1.2</v>
      </c>
      <c r="R24" s="19" t="str">
        <f>Setup!B12</f>
        <v>HiBiT-AT1R</v>
      </c>
      <c r="S24" s="2">
        <v>5</v>
      </c>
      <c r="T24" s="13">
        <f>IF(S24="",0,(Setup!C5*Setup!C4)*S24/100)</f>
        <v>60</v>
      </c>
      <c r="U24" s="8">
        <f>IF(OR(Setup!C12="",Setup!C12=0,T24=0),"—",T24/Setup!C12)</f>
        <v>6</v>
      </c>
      <c r="W24" s="19" t="str">
        <f>Setup!B12</f>
        <v>HiBiT-AT1R</v>
      </c>
      <c r="X24" s="2"/>
      <c r="Y24" s="13">
        <f>IF(X24="",0,(Setup!C5*Setup!C4)*X24/100)</f>
        <v>0</v>
      </c>
      <c r="Z24" s="8" t="str">
        <f>IF(OR(Setup!C12="",Setup!C12=0,Y24=0),"—",Y24/Setup!C12)</f>
        <v>—</v>
      </c>
    </row>
    <row r="25" spans="1:26" ht="15.75" customHeight="1" x14ac:dyDescent="0.35">
      <c r="A25" s="74"/>
      <c r="B25" s="74"/>
      <c r="C25" s="19" t="str">
        <f>Setup!B13</f>
        <v>arr3</v>
      </c>
      <c r="D25" s="2"/>
      <c r="E25" s="13">
        <f>IF(D25="",0,(Setup!C5*Setup!C4)*D25/100)</f>
        <v>0</v>
      </c>
      <c r="F25" s="8" t="str">
        <f>IF(OR(Setup!C13="",Setup!C13=0,E25=0),"—",E25/Setup!C13)</f>
        <v>—</v>
      </c>
      <c r="H25" s="19" t="str">
        <f>Setup!B13</f>
        <v>arr3</v>
      </c>
      <c r="I25" s="2">
        <v>5</v>
      </c>
      <c r="J25" s="13">
        <f>IF(I25="",0,(Setup!C5*Setup!C4)*I25/100)</f>
        <v>60</v>
      </c>
      <c r="K25" s="8">
        <f>IF(OR(Setup!C13="",Setup!C13=0,J25=0),"—",J25/Setup!C13)</f>
        <v>0.759493670886076</v>
      </c>
      <c r="M25" s="19" t="str">
        <f>Setup!B13</f>
        <v>arr3</v>
      </c>
      <c r="N25" s="2">
        <v>10</v>
      </c>
      <c r="O25" s="13">
        <f>IF(N25="",0,(Setup!C5*Setup!C4)*N25/100)</f>
        <v>120</v>
      </c>
      <c r="P25" s="8">
        <f>IF(OR(Setup!C13="",Setup!C13=0,O25=0),"—",O25/Setup!C13)</f>
        <v>1.518987341772152</v>
      </c>
      <c r="R25" s="19" t="str">
        <f>Setup!B13</f>
        <v>arr3</v>
      </c>
      <c r="S25" s="2">
        <v>50</v>
      </c>
      <c r="T25" s="13">
        <f>IF(S25="",0,(Setup!C5*Setup!C4)*S25/100)</f>
        <v>600</v>
      </c>
      <c r="U25" s="8">
        <f>IF(OR(Setup!C13="",Setup!C13=0,T25=0),"—",T25/Setup!C13)</f>
        <v>7.5949367088607591</v>
      </c>
      <c r="W25" s="19" t="str">
        <f>Setup!B13</f>
        <v>arr3</v>
      </c>
      <c r="X25" s="2"/>
      <c r="Y25" s="13">
        <f>IF(X25="",0,(Setup!C5*Setup!C4)*X25/100)</f>
        <v>0</v>
      </c>
      <c r="Z25" s="8" t="str">
        <f>IF(OR(Setup!C13="",Setup!C13=0,Y25=0),"—",Y25/Setup!C13)</f>
        <v>—</v>
      </c>
    </row>
    <row r="26" spans="1:26" ht="15.75" customHeight="1" x14ac:dyDescent="0.35">
      <c r="A26" s="74"/>
      <c r="B26" s="74"/>
      <c r="C26" s="19">
        <f>Setup!B14</f>
        <v>0</v>
      </c>
      <c r="D26" s="2"/>
      <c r="E26" s="13">
        <f>IF(D26="",0,(Setup!C5*Setup!C4)*D26/100)</f>
        <v>0</v>
      </c>
      <c r="F26" s="8" t="str">
        <f>IF(OR(Setup!C14="",Setup!C14=0,E26=0),"—",E26/Setup!C14)</f>
        <v>—</v>
      </c>
      <c r="H26" s="19">
        <f>Setup!B14</f>
        <v>0</v>
      </c>
      <c r="I26" s="2"/>
      <c r="J26" s="13">
        <f>IF(I26="",0,(Setup!C5*Setup!C4)*I26/100)</f>
        <v>0</v>
      </c>
      <c r="K26" s="8" t="str">
        <f>IF(OR(Setup!C14="",Setup!C14=0,J26=0),"—",J26/Setup!C14)</f>
        <v>—</v>
      </c>
      <c r="M26" s="19">
        <f>Setup!B14</f>
        <v>0</v>
      </c>
      <c r="N26" s="2"/>
      <c r="O26" s="13">
        <f>IF(N26="",0,(Setup!C5*Setup!C4)*N26/100)</f>
        <v>0</v>
      </c>
      <c r="P26" s="8" t="str">
        <f>IF(OR(Setup!C14="",Setup!C14=0,O26=0),"—",O26/Setup!C14)</f>
        <v>—</v>
      </c>
      <c r="R26" s="19">
        <f>Setup!B14</f>
        <v>0</v>
      </c>
      <c r="S26" s="2"/>
      <c r="T26" s="13">
        <f>IF(S26="",0,(Setup!C5*Setup!C4)*S26/100)</f>
        <v>0</v>
      </c>
      <c r="U26" s="8" t="str">
        <f>IF(OR(Setup!C14="",Setup!C14=0,T26=0),"—",T26/Setup!C14)</f>
        <v>—</v>
      </c>
      <c r="W26" s="19">
        <f>Setup!B14</f>
        <v>0</v>
      </c>
      <c r="X26" s="2"/>
      <c r="Y26" s="13">
        <f>IF(X26="",0,(Setup!C5*Setup!C4)*X26/100)</f>
        <v>0</v>
      </c>
      <c r="Z26" s="8" t="str">
        <f>IF(OR(Setup!C14="",Setup!C14=0,Y26=0),"—",Y26/Setup!C14)</f>
        <v>—</v>
      </c>
    </row>
    <row r="27" spans="1:26" ht="15.75" customHeight="1" x14ac:dyDescent="0.35">
      <c r="A27" s="74"/>
      <c r="B27" s="74"/>
      <c r="C27" s="19" t="str">
        <f>Setup!B15</f>
        <v>pcDNA</v>
      </c>
      <c r="D27" s="13">
        <f>MAX(0,100-(IF(D24="",0,D24)+IF(D25="",0,D25)+IF(D26="",0,D26)+IF(D28="",0,D28)+IF(D29="",0,D29)+IF(D30="",0,D30)+IF(D31="",0,D31)))</f>
        <v>100</v>
      </c>
      <c r="E27" s="13">
        <f>IF(D27="",0,(Setup!C5*Setup!C4)*D27/100)</f>
        <v>1200</v>
      </c>
      <c r="F27" s="8">
        <f>IF(OR(Setup!C15="",Setup!C15=0,E27=0),"—",E27/Setup!C15)</f>
        <v>1.2</v>
      </c>
      <c r="H27" s="19" t="str">
        <f>Setup!B15</f>
        <v>pcDNA</v>
      </c>
      <c r="I27" s="13">
        <f>MAX(0,100-(IF(I24="",0,I24)+IF(I25="",0,I25)+IF(I26="",0,I26)+IF(I28="",0,I28)+IF(I29="",0,I29)+IF(I30="",0,I30)+IF(I31="",0,I31)))</f>
        <v>94.5</v>
      </c>
      <c r="J27" s="13">
        <f>IF(I27="",0,(Setup!C5*Setup!C4)*I27/100)</f>
        <v>1134</v>
      </c>
      <c r="K27" s="8">
        <f>IF(OR(Setup!C15="",Setup!C15=0,J27=0),"—",J27/Setup!C15)</f>
        <v>1.1339999999999999</v>
      </c>
      <c r="M27" s="19" t="str">
        <f>Setup!B15</f>
        <v>pcDNA</v>
      </c>
      <c r="N27" s="13">
        <f>MAX(0,100-(IF(N24="",0,N24)+IF(N25="",0,N25)+IF(N26="",0,N26)+IF(N28="",0,N28)+IF(N29="",0,N29)+IF(N30="",0,N30)+IF(N31="",0,N31)))</f>
        <v>89</v>
      </c>
      <c r="O27" s="13">
        <f>IF(N27="",0,(Setup!C5*Setup!C4)*N27/100)</f>
        <v>1068</v>
      </c>
      <c r="P27" s="8">
        <f>IF(OR(Setup!C15="",Setup!C15=0,O27=0),"—",O27/Setup!C15)</f>
        <v>1.0680000000000001</v>
      </c>
      <c r="R27" s="19" t="str">
        <f>Setup!B15</f>
        <v>pcDNA</v>
      </c>
      <c r="S27" s="13">
        <f>MAX(0,100-(IF(S24="",0,S24)+IF(S25="",0,S25)+IF(S26="",0,S26)+IF(S28="",0,S28)+IF(S29="",0,S29)+IF(S30="",0,S30)+IF(S31="",0,S31)))</f>
        <v>45</v>
      </c>
      <c r="T27" s="13">
        <f>IF(S27="",0,(Setup!C5*Setup!C4)*S27/100)</f>
        <v>540</v>
      </c>
      <c r="U27" s="8">
        <f>IF(OR(Setup!C15="",Setup!C15=0,T27=0),"—",T27/Setup!C15)</f>
        <v>0.54</v>
      </c>
      <c r="W27" s="19" t="str">
        <f>Setup!B15</f>
        <v>pcDNA</v>
      </c>
      <c r="X27" s="13">
        <f>MAX(0,100-(IF(X24="",0,X24)+IF(X25="",0,X25)+IF(X26="",0,X26)+IF(X28="",0,X28)+IF(X29="",0,X29)+IF(X30="",0,X30)+IF(X31="",0,X31)))</f>
        <v>100</v>
      </c>
      <c r="Y27" s="13">
        <f>IF(X27="",0,(Setup!C5*Setup!C4)*X27/100)</f>
        <v>1200</v>
      </c>
      <c r="Z27" s="8">
        <f>IF(OR(Setup!C15="",Setup!C15=0,Y27=0),"—",Y27/Setup!C15)</f>
        <v>1.2</v>
      </c>
    </row>
    <row r="28" spans="1:26" ht="15.75" customHeight="1" x14ac:dyDescent="0.35">
      <c r="A28" s="74"/>
      <c r="B28" s="74"/>
      <c r="C28" s="19">
        <f>Setup!B16</f>
        <v>0</v>
      </c>
      <c r="D28" s="2"/>
      <c r="E28" s="13">
        <f>IF(D28="",0,(Setup!C5*Setup!C4)*D28/100)</f>
        <v>0</v>
      </c>
      <c r="F28" s="8" t="str">
        <f>IF(OR(Setup!C16="",Setup!C16=0,E28=0),"—",E28/Setup!C16)</f>
        <v>—</v>
      </c>
      <c r="H28" s="19">
        <f>Setup!B16</f>
        <v>0</v>
      </c>
      <c r="I28" s="2"/>
      <c r="J28" s="13">
        <f>IF(I28="",0,(Setup!C5*Setup!C4)*I28/100)</f>
        <v>0</v>
      </c>
      <c r="K28" s="8" t="str">
        <f>IF(OR(Setup!C16="",Setup!C16=0,J28=0),"—",J28/Setup!C16)</f>
        <v>—</v>
      </c>
      <c r="M28" s="19">
        <f>Setup!B16</f>
        <v>0</v>
      </c>
      <c r="N28" s="2"/>
      <c r="O28" s="13">
        <f>IF(N28="",0,(Setup!C5*Setup!C4)*N28/100)</f>
        <v>0</v>
      </c>
      <c r="P28" s="8" t="str">
        <f>IF(OR(Setup!C16="",Setup!C16=0,O28=0),"—",O28/Setup!C16)</f>
        <v>—</v>
      </c>
      <c r="R28" s="19">
        <f>Setup!B16</f>
        <v>0</v>
      </c>
      <c r="S28" s="2"/>
      <c r="T28" s="13">
        <f>IF(S28="",0,(Setup!C5*Setup!C4)*S28/100)</f>
        <v>0</v>
      </c>
      <c r="U28" s="8" t="str">
        <f>IF(OR(Setup!C16="",Setup!C16=0,T28=0),"—",T28/Setup!C16)</f>
        <v>—</v>
      </c>
      <c r="W28" s="19">
        <f>Setup!B16</f>
        <v>0</v>
      </c>
      <c r="X28" s="2"/>
      <c r="Y28" s="13">
        <f>IF(X28="",0,(Setup!C5*Setup!C4)*X28/100)</f>
        <v>0</v>
      </c>
      <c r="Z28" s="8" t="str">
        <f>IF(OR(Setup!C16="",Setup!C16=0,Y28=0),"—",Y28/Setup!C16)</f>
        <v>—</v>
      </c>
    </row>
    <row r="29" spans="1:26" ht="15.75" customHeight="1" x14ac:dyDescent="0.35">
      <c r="A29" s="74"/>
      <c r="B29" s="74"/>
      <c r="C29" s="19">
        <f>Setup!B17</f>
        <v>0</v>
      </c>
      <c r="D29" s="2"/>
      <c r="E29" s="13">
        <f>IF(D29="",0,(Setup!C5*Setup!C4)*D29/100)</f>
        <v>0</v>
      </c>
      <c r="F29" s="8" t="str">
        <f>IF(OR(Setup!C17="",Setup!C17=0,E29=0),"—",E29/Setup!C17)</f>
        <v>—</v>
      </c>
      <c r="H29" s="19">
        <f>Setup!B17</f>
        <v>0</v>
      </c>
      <c r="I29" s="2"/>
      <c r="J29" s="13">
        <f>IF(I29="",0,(Setup!C5*Setup!C4)*I29/100)</f>
        <v>0</v>
      </c>
      <c r="K29" s="8" t="str">
        <f>IF(OR(Setup!C17="",Setup!C17=0,J29=0),"—",J29/Setup!C17)</f>
        <v>—</v>
      </c>
      <c r="M29" s="19">
        <f>Setup!B17</f>
        <v>0</v>
      </c>
      <c r="N29" s="2"/>
      <c r="O29" s="13">
        <f>IF(N29="",0,(Setup!C5*Setup!C4)*N29/100)</f>
        <v>0</v>
      </c>
      <c r="P29" s="8" t="str">
        <f>IF(OR(Setup!C17="",Setup!C17=0,O29=0),"—",O29/Setup!C17)</f>
        <v>—</v>
      </c>
      <c r="R29" s="19">
        <f>Setup!B17</f>
        <v>0</v>
      </c>
      <c r="S29" s="2"/>
      <c r="T29" s="13">
        <f>IF(S29="",0,(Setup!C5*Setup!C4)*S29/100)</f>
        <v>0</v>
      </c>
      <c r="U29" s="8" t="str">
        <f>IF(OR(Setup!C17="",Setup!C17=0,T29=0),"—",T29/Setup!C17)</f>
        <v>—</v>
      </c>
      <c r="W29" s="19">
        <f>Setup!B17</f>
        <v>0</v>
      </c>
      <c r="X29" s="2"/>
      <c r="Y29" s="13">
        <f>IF(X29="",0,(Setup!C5*Setup!C4)*X29/100)</f>
        <v>0</v>
      </c>
      <c r="Z29" s="8" t="str">
        <f>IF(OR(Setup!C17="",Setup!C17=0,Y29=0),"—",Y29/Setup!C17)</f>
        <v>—</v>
      </c>
    </row>
    <row r="30" spans="1:26" ht="15.75" customHeight="1" x14ac:dyDescent="0.35">
      <c r="A30" s="74"/>
      <c r="B30" s="74"/>
      <c r="C30" s="19">
        <f>Setup!B18</f>
        <v>0</v>
      </c>
      <c r="D30" s="2"/>
      <c r="E30" s="13">
        <f>IF(D30="",0,(Setup!C5*Setup!C4)*D30/100)</f>
        <v>0</v>
      </c>
      <c r="F30" s="8" t="str">
        <f>IF(OR(Setup!C18="",Setup!C18=0,E30=0),"—",E30/Setup!C18)</f>
        <v>—</v>
      </c>
      <c r="H30" s="19">
        <f>Setup!B18</f>
        <v>0</v>
      </c>
      <c r="I30" s="2"/>
      <c r="J30" s="13">
        <f>IF(I30="",0,(Setup!C5*Setup!C4)*I30/100)</f>
        <v>0</v>
      </c>
      <c r="K30" s="8" t="str">
        <f>IF(OR(Setup!C18="",Setup!C18=0,J30=0),"—",J30/Setup!C18)</f>
        <v>—</v>
      </c>
      <c r="M30" s="19">
        <f>Setup!B18</f>
        <v>0</v>
      </c>
      <c r="N30" s="2"/>
      <c r="O30" s="13">
        <f>IF(N30="",0,(Setup!C5*Setup!C4)*N30/100)</f>
        <v>0</v>
      </c>
      <c r="P30" s="8" t="str">
        <f>IF(OR(Setup!C18="",Setup!C18=0,O30=0),"—",O30/Setup!C18)</f>
        <v>—</v>
      </c>
      <c r="R30" s="19">
        <f>Setup!B18</f>
        <v>0</v>
      </c>
      <c r="S30" s="2"/>
      <c r="T30" s="13">
        <f>IF(S30="",0,(Setup!C5*Setup!C4)*S30/100)</f>
        <v>0</v>
      </c>
      <c r="U30" s="8" t="str">
        <f>IF(OR(Setup!C18="",Setup!C18=0,T30=0),"—",T30/Setup!C18)</f>
        <v>—</v>
      </c>
      <c r="W30" s="19">
        <f>Setup!B18</f>
        <v>0</v>
      </c>
      <c r="X30" s="2"/>
      <c r="Y30" s="13">
        <f>IF(X30="",0,(Setup!C5*Setup!C4)*X30/100)</f>
        <v>0</v>
      </c>
      <c r="Z30" s="8" t="str">
        <f>IF(OR(Setup!C18="",Setup!C18=0,Y30=0),"—",Y30/Setup!C18)</f>
        <v>—</v>
      </c>
    </row>
    <row r="31" spans="1:26" ht="15.75" customHeight="1" x14ac:dyDescent="0.35">
      <c r="A31" s="74"/>
      <c r="B31" s="74"/>
      <c r="C31" s="19">
        <f>Setup!B19</f>
        <v>0</v>
      </c>
      <c r="D31" s="2"/>
      <c r="E31" s="13">
        <f>IF(D31="",0,(Setup!C5*Setup!C4)*D31/100)</f>
        <v>0</v>
      </c>
      <c r="F31" s="8" t="str">
        <f>IF(OR(Setup!C19="",Setup!C19=0,E31=0),"—",E31/Setup!C19)</f>
        <v>—</v>
      </c>
      <c r="H31" s="19">
        <f>Setup!B19</f>
        <v>0</v>
      </c>
      <c r="I31" s="2"/>
      <c r="J31" s="13">
        <f>IF(I31="",0,(Setup!C5*Setup!C4)*I31/100)</f>
        <v>0</v>
      </c>
      <c r="K31" s="8" t="str">
        <f>IF(OR(Setup!C19="",Setup!C19=0,J31=0),"—",J31/Setup!C19)</f>
        <v>—</v>
      </c>
      <c r="M31" s="19">
        <f>Setup!B19</f>
        <v>0</v>
      </c>
      <c r="N31" s="2"/>
      <c r="O31" s="13">
        <f>IF(N31="",0,(Setup!C5*Setup!C4)*N31/100)</f>
        <v>0</v>
      </c>
      <c r="P31" s="8" t="str">
        <f>IF(OR(Setup!C19="",Setup!C19=0,O31=0),"—",O31/Setup!C19)</f>
        <v>—</v>
      </c>
      <c r="R31" s="19">
        <f>Setup!B19</f>
        <v>0</v>
      </c>
      <c r="S31" s="2"/>
      <c r="T31" s="13">
        <f>IF(S31="",0,(Setup!C5*Setup!C4)*S31/100)</f>
        <v>0</v>
      </c>
      <c r="U31" s="8" t="str">
        <f>IF(OR(Setup!C19="",Setup!C19=0,T31=0),"—",T31/Setup!C19)</f>
        <v>—</v>
      </c>
      <c r="W31" s="19">
        <f>Setup!B19</f>
        <v>0</v>
      </c>
      <c r="X31" s="2"/>
      <c r="Y31" s="13">
        <f>IF(X31="",0,(Setup!C5*Setup!C4)*X31/100)</f>
        <v>0</v>
      </c>
      <c r="Z31" s="8" t="str">
        <f>IF(OR(Setup!C19="",Setup!C19=0,Y31=0),"—",Y31/Setup!C19)</f>
        <v>—</v>
      </c>
    </row>
    <row r="32" spans="1:26" ht="15.75" customHeight="1" x14ac:dyDescent="0.35">
      <c r="A32" s="74"/>
      <c r="B32" s="74"/>
      <c r="C32" s="20" t="s">
        <v>48</v>
      </c>
      <c r="D32" s="15">
        <f>SUMPRODUCT((D24:D31&lt;&gt;"")*(D24:D31))</f>
        <v>100</v>
      </c>
      <c r="E32" s="16">
        <f>SUM(E24:E31)</f>
        <v>1200</v>
      </c>
      <c r="F32" s="17">
        <f>SUM(F24:F31)</f>
        <v>1.2</v>
      </c>
      <c r="H32" s="20" t="s">
        <v>48</v>
      </c>
      <c r="I32" s="15">
        <f>SUMPRODUCT((I24:I31&lt;&gt;"")*(I24:I31))</f>
        <v>100</v>
      </c>
      <c r="J32" s="16">
        <f>SUM(J24:J31)</f>
        <v>1200</v>
      </c>
      <c r="K32" s="17">
        <f>SUM(K24:K31)</f>
        <v>2.493493670886076</v>
      </c>
      <c r="M32" s="20" t="s">
        <v>48</v>
      </c>
      <c r="N32" s="15">
        <f>SUMPRODUCT((N24:N31&lt;&gt;"")*(N24:N31))</f>
        <v>100</v>
      </c>
      <c r="O32" s="16">
        <f>SUM(O24:O31)</f>
        <v>1200</v>
      </c>
      <c r="P32" s="17">
        <f>SUM(P24:P31)</f>
        <v>3.7869873417721522</v>
      </c>
      <c r="R32" s="20" t="s">
        <v>48</v>
      </c>
      <c r="S32" s="15">
        <f>SUMPRODUCT((S24:S31&lt;&gt;"")*(S24:S31))</f>
        <v>100</v>
      </c>
      <c r="T32" s="16">
        <f>SUM(T24:T31)</f>
        <v>1200</v>
      </c>
      <c r="U32" s="17">
        <f>SUM(U24:U31)</f>
        <v>14.13493670886076</v>
      </c>
      <c r="W32" s="20" t="s">
        <v>48</v>
      </c>
      <c r="X32" s="15">
        <f>SUMPRODUCT((X24:X31&lt;&gt;"")*(X24:X31))</f>
        <v>100</v>
      </c>
      <c r="Y32" s="16">
        <f>SUM(Y24:Y31)</f>
        <v>1200</v>
      </c>
      <c r="Z32" s="17">
        <f>SUM(Z24:Z31)</f>
        <v>1.2</v>
      </c>
    </row>
    <row r="33" spans="1:26" ht="15.75" customHeight="1" x14ac:dyDescent="0.35">
      <c r="A33" s="74"/>
      <c r="B33" s="74"/>
      <c r="C33" s="80" t="str">
        <f>IF(D32=100,"✓ OK","⚠ ≠ 100%")</f>
        <v>✓ OK</v>
      </c>
      <c r="D33" s="80"/>
      <c r="E33" s="81">
        <f>Setup!C26</f>
        <v>60</v>
      </c>
      <c r="F33" s="81"/>
      <c r="H33" s="82" t="str">
        <f>IF(I32=100,"✓ OK","⚠ ≠ 100%")</f>
        <v>✓ OK</v>
      </c>
      <c r="I33" s="82"/>
      <c r="J33" s="81">
        <f>Setup!C26</f>
        <v>60</v>
      </c>
      <c r="K33" s="81"/>
      <c r="M33" s="82" t="str">
        <f>IF(N32=100,"✓ OK","⚠ ≠ 100%")</f>
        <v>✓ OK</v>
      </c>
      <c r="N33" s="82"/>
      <c r="O33" s="81">
        <f>Setup!C26</f>
        <v>60</v>
      </c>
      <c r="P33" s="81"/>
      <c r="R33" s="82" t="str">
        <f>IF(S32=100,"✓ OK","⚠ ≠ 100%")</f>
        <v>✓ OK</v>
      </c>
      <c r="S33" s="82"/>
      <c r="T33" s="81">
        <f>Setup!C26</f>
        <v>60</v>
      </c>
      <c r="U33" s="81"/>
      <c r="W33" s="82" t="str">
        <f>IF(X32=100,"✓ OK","⚠ ≠ 100%")</f>
        <v>✓ OK</v>
      </c>
      <c r="X33" s="82"/>
      <c r="Y33" s="81">
        <f>Setup!C26</f>
        <v>60</v>
      </c>
      <c r="Z33" s="81"/>
    </row>
    <row r="34" spans="1:26" ht="15.75" customHeight="1" x14ac:dyDescent="0.35"/>
    <row r="35" spans="1:26" ht="15.75" customHeight="1" x14ac:dyDescent="0.35">
      <c r="A35" s="74" t="s">
        <v>96</v>
      </c>
      <c r="B35" s="74"/>
      <c r="C35" s="78" t="str">
        <f>"E1: "&amp;C8</f>
        <v>E1: no receptor</v>
      </c>
      <c r="D35" s="78"/>
      <c r="E35" s="78"/>
      <c r="F35" s="78"/>
      <c r="H35" s="79" t="str">
        <f>"E2: "&amp;H8</f>
        <v>E2: low hibit</v>
      </c>
      <c r="I35" s="79"/>
      <c r="J35" s="79"/>
      <c r="K35" s="79"/>
      <c r="M35" s="79" t="str">
        <f>"E3: "&amp;M8</f>
        <v>E3: med hibit</v>
      </c>
      <c r="N35" s="79"/>
      <c r="O35" s="79"/>
      <c r="P35" s="79"/>
      <c r="R35" s="79" t="str">
        <f>"E4: "&amp;R8</f>
        <v>E4: high hibit</v>
      </c>
      <c r="S35" s="79"/>
      <c r="T35" s="79"/>
      <c r="U35" s="79"/>
      <c r="W35" s="79" t="str">
        <f>"E5: "&amp;W8</f>
        <v>E5: Condition 5</v>
      </c>
      <c r="X35" s="79"/>
      <c r="Y35" s="79"/>
      <c r="Z35" s="79"/>
    </row>
    <row r="36" spans="1:26" ht="15.75" customHeight="1" x14ac:dyDescent="0.35">
      <c r="A36" s="74"/>
      <c r="B36" s="74"/>
      <c r="C36" s="18" t="s">
        <v>16</v>
      </c>
      <c r="D36" s="18" t="s">
        <v>45</v>
      </c>
      <c r="E36" s="18" t="s">
        <v>46</v>
      </c>
      <c r="F36" s="18" t="s">
        <v>47</v>
      </c>
      <c r="H36" s="18" t="s">
        <v>16</v>
      </c>
      <c r="I36" s="18" t="s">
        <v>45</v>
      </c>
      <c r="J36" s="18" t="s">
        <v>46</v>
      </c>
      <c r="K36" s="18" t="s">
        <v>47</v>
      </c>
      <c r="M36" s="18" t="s">
        <v>16</v>
      </c>
      <c r="N36" s="18" t="s">
        <v>45</v>
      </c>
      <c r="O36" s="18" t="s">
        <v>46</v>
      </c>
      <c r="P36" s="18" t="s">
        <v>47</v>
      </c>
      <c r="R36" s="18" t="s">
        <v>16</v>
      </c>
      <c r="S36" s="18" t="s">
        <v>45</v>
      </c>
      <c r="T36" s="18" t="s">
        <v>46</v>
      </c>
      <c r="U36" s="18" t="s">
        <v>47</v>
      </c>
      <c r="W36" s="18" t="s">
        <v>16</v>
      </c>
      <c r="X36" s="18" t="s">
        <v>45</v>
      </c>
      <c r="Y36" s="18" t="s">
        <v>46</v>
      </c>
      <c r="Z36" s="18" t="s">
        <v>47</v>
      </c>
    </row>
    <row r="37" spans="1:26" ht="15.75" customHeight="1" x14ac:dyDescent="0.35">
      <c r="A37" s="74"/>
      <c r="B37" s="74"/>
      <c r="C37" s="19" t="str">
        <f>Setup!B12</f>
        <v>HiBiT-AT1R</v>
      </c>
      <c r="D37" s="2"/>
      <c r="E37" s="13">
        <f>IF(D37="",0,(Setup!C5*Setup!C4)*D37/100)</f>
        <v>0</v>
      </c>
      <c r="F37" s="8" t="str">
        <f>IF(OR(Setup!C12="",Setup!C12=0,E37=0),"—",E37/Setup!C12)</f>
        <v>—</v>
      </c>
      <c r="H37" s="19" t="str">
        <f>Setup!B12</f>
        <v>HiBiT-AT1R</v>
      </c>
      <c r="I37" s="2"/>
      <c r="J37" s="13">
        <f>IF(I37="",0,(Setup!C5*Setup!C4)*I37/100)</f>
        <v>0</v>
      </c>
      <c r="K37" s="8" t="str">
        <f>IF(OR(Setup!C12="",Setup!C12=0,J37=0),"—",J37/Setup!C12)</f>
        <v>—</v>
      </c>
      <c r="M37" s="19" t="str">
        <f>Setup!B12</f>
        <v>HiBiT-AT1R</v>
      </c>
      <c r="N37" s="2"/>
      <c r="O37" s="13">
        <f>IF(N37="",0,(Setup!C5*Setup!C4)*N37/100)</f>
        <v>0</v>
      </c>
      <c r="P37" s="8" t="str">
        <f>IF(OR(Setup!C12="",Setup!C12=0,O37=0),"—",O37/Setup!C12)</f>
        <v>—</v>
      </c>
      <c r="R37" s="19" t="str">
        <f>Setup!B12</f>
        <v>HiBiT-AT1R</v>
      </c>
      <c r="S37" s="2"/>
      <c r="T37" s="13">
        <f>IF(S37="",0,(Setup!C5*Setup!C4)*S37/100)</f>
        <v>0</v>
      </c>
      <c r="U37" s="8" t="str">
        <f>IF(OR(Setup!C12="",Setup!C12=0,T37=0),"—",T37/Setup!C12)</f>
        <v>—</v>
      </c>
      <c r="W37" s="19" t="str">
        <f>Setup!B12</f>
        <v>HiBiT-AT1R</v>
      </c>
      <c r="X37" s="2"/>
      <c r="Y37" s="13">
        <f>IF(X37="",0,(Setup!C5*Setup!C4)*X37/100)</f>
        <v>0</v>
      </c>
      <c r="Z37" s="8" t="str">
        <f>IF(OR(Setup!C12="",Setup!C12=0,Y37=0),"—",Y37/Setup!C12)</f>
        <v>—</v>
      </c>
    </row>
    <row r="38" spans="1:26" ht="15.75" customHeight="1" x14ac:dyDescent="0.35">
      <c r="A38" s="74"/>
      <c r="B38" s="74"/>
      <c r="C38" s="19" t="str">
        <f>Setup!B13</f>
        <v>arr3</v>
      </c>
      <c r="D38" s="2"/>
      <c r="E38" s="13">
        <f>IF(D38="",0,(Setup!C5*Setup!C4)*D38/100)</f>
        <v>0</v>
      </c>
      <c r="F38" s="8" t="str">
        <f>IF(OR(Setup!C13="",Setup!C13=0,E38=0),"—",E38/Setup!C13)</f>
        <v>—</v>
      </c>
      <c r="H38" s="19" t="str">
        <f>Setup!B13</f>
        <v>arr3</v>
      </c>
      <c r="I38" s="2"/>
      <c r="J38" s="13">
        <f>IF(I38="",0,(Setup!C5*Setup!C4)*I38/100)</f>
        <v>0</v>
      </c>
      <c r="K38" s="8" t="str">
        <f>IF(OR(Setup!C13="",Setup!C13=0,J38=0),"—",J38/Setup!C13)</f>
        <v>—</v>
      </c>
      <c r="M38" s="19" t="str">
        <f>Setup!B13</f>
        <v>arr3</v>
      </c>
      <c r="N38" s="2"/>
      <c r="O38" s="13">
        <f>IF(N38="",0,(Setup!C5*Setup!C4)*N38/100)</f>
        <v>0</v>
      </c>
      <c r="P38" s="8" t="str">
        <f>IF(OR(Setup!C13="",Setup!C13=0,O38=0),"—",O38/Setup!C13)</f>
        <v>—</v>
      </c>
      <c r="R38" s="19" t="str">
        <f>Setup!B13</f>
        <v>arr3</v>
      </c>
      <c r="S38" s="2"/>
      <c r="T38" s="13">
        <f>IF(S38="",0,(Setup!C5*Setup!C4)*S38/100)</f>
        <v>0</v>
      </c>
      <c r="U38" s="8" t="str">
        <f>IF(OR(Setup!C13="",Setup!C13=0,T38=0),"—",T38/Setup!C13)</f>
        <v>—</v>
      </c>
      <c r="W38" s="19" t="str">
        <f>Setup!B13</f>
        <v>arr3</v>
      </c>
      <c r="X38" s="2"/>
      <c r="Y38" s="13">
        <f>IF(X38="",0,(Setup!C5*Setup!C4)*X38/100)</f>
        <v>0</v>
      </c>
      <c r="Z38" s="8" t="str">
        <f>IF(OR(Setup!C13="",Setup!C13=0,Y38=0),"—",Y38/Setup!C13)</f>
        <v>—</v>
      </c>
    </row>
    <row r="39" spans="1:26" ht="15.75" customHeight="1" x14ac:dyDescent="0.35">
      <c r="A39" s="74"/>
      <c r="B39" s="74"/>
      <c r="C39" s="19">
        <f>Setup!B14</f>
        <v>0</v>
      </c>
      <c r="D39" s="2"/>
      <c r="E39" s="13">
        <f>IF(D39="",0,(Setup!C5*Setup!C4)*D39/100)</f>
        <v>0</v>
      </c>
      <c r="F39" s="8" t="str">
        <f>IF(OR(Setup!C14="",Setup!C14=0,E39=0),"—",E39/Setup!C14)</f>
        <v>—</v>
      </c>
      <c r="H39" s="19">
        <f>Setup!B14</f>
        <v>0</v>
      </c>
      <c r="I39" s="2"/>
      <c r="J39" s="13">
        <f>IF(I39="",0,(Setup!C5*Setup!C4)*I39/100)</f>
        <v>0</v>
      </c>
      <c r="K39" s="8" t="str">
        <f>IF(OR(Setup!C14="",Setup!C14=0,J39=0),"—",J39/Setup!C14)</f>
        <v>—</v>
      </c>
      <c r="M39" s="19">
        <f>Setup!B14</f>
        <v>0</v>
      </c>
      <c r="N39" s="2"/>
      <c r="O39" s="13">
        <f>IF(N39="",0,(Setup!C5*Setup!C4)*N39/100)</f>
        <v>0</v>
      </c>
      <c r="P39" s="8" t="str">
        <f>IF(OR(Setup!C14="",Setup!C14=0,O39=0),"—",O39/Setup!C14)</f>
        <v>—</v>
      </c>
      <c r="R39" s="19">
        <f>Setup!B14</f>
        <v>0</v>
      </c>
      <c r="S39" s="2"/>
      <c r="T39" s="13">
        <f>IF(S39="",0,(Setup!C5*Setup!C4)*S39/100)</f>
        <v>0</v>
      </c>
      <c r="U39" s="8" t="str">
        <f>IF(OR(Setup!C14="",Setup!C14=0,T39=0),"—",T39/Setup!C14)</f>
        <v>—</v>
      </c>
      <c r="W39" s="19">
        <f>Setup!B14</f>
        <v>0</v>
      </c>
      <c r="X39" s="2"/>
      <c r="Y39" s="13">
        <f>IF(X39="",0,(Setup!C5*Setup!C4)*X39/100)</f>
        <v>0</v>
      </c>
      <c r="Z39" s="8" t="str">
        <f>IF(OR(Setup!C14="",Setup!C14=0,Y39=0),"—",Y39/Setup!C14)</f>
        <v>—</v>
      </c>
    </row>
    <row r="40" spans="1:26" ht="15.75" customHeight="1" x14ac:dyDescent="0.35">
      <c r="A40" s="74"/>
      <c r="B40" s="74"/>
      <c r="C40" s="19" t="str">
        <f>Setup!B15</f>
        <v>pcDNA</v>
      </c>
      <c r="D40" s="13">
        <f>MAX(0,100-(IF(D37="",0,D37)+IF(D38="",0,D38)+IF(D39="",0,D39)+IF(D41="",0,D41)+IF(D42="",0,D42)+IF(D43="",0,D43)+IF(D44="",0,D44)))</f>
        <v>100</v>
      </c>
      <c r="E40" s="13">
        <f>IF(D40="",0,(Setup!C5*Setup!C4)*D40/100)</f>
        <v>1200</v>
      </c>
      <c r="F40" s="8">
        <f>IF(OR(Setup!C15="",Setup!C15=0,E40=0),"—",E40/Setup!C15)</f>
        <v>1.2</v>
      </c>
      <c r="H40" s="19" t="str">
        <f>Setup!B15</f>
        <v>pcDNA</v>
      </c>
      <c r="I40" s="13">
        <f>MAX(0,100-(IF(I37="",0,I37)+IF(I38="",0,I38)+IF(I39="",0,I39)+IF(I41="",0,I41)+IF(I42="",0,I42)+IF(I43="",0,I43)+IF(I44="",0,I44)))</f>
        <v>100</v>
      </c>
      <c r="J40" s="13">
        <f>IF(I40="",0,(Setup!C5*Setup!C4)*I40/100)</f>
        <v>1200</v>
      </c>
      <c r="K40" s="8">
        <f>IF(OR(Setup!C15="",Setup!C15=0,J40=0),"—",J40/Setup!C15)</f>
        <v>1.2</v>
      </c>
      <c r="M40" s="19" t="str">
        <f>Setup!B15</f>
        <v>pcDNA</v>
      </c>
      <c r="N40" s="13">
        <f>MAX(0,100-(IF(N37="",0,N37)+IF(N38="",0,N38)+IF(N39="",0,N39)+IF(N41="",0,N41)+IF(N42="",0,N42)+IF(N43="",0,N43)+IF(N44="",0,N44)))</f>
        <v>100</v>
      </c>
      <c r="O40" s="13">
        <f>IF(N40="",0,(Setup!C5*Setup!C4)*N40/100)</f>
        <v>1200</v>
      </c>
      <c r="P40" s="8">
        <f>IF(OR(Setup!C15="",Setup!C15=0,O40=0),"—",O40/Setup!C15)</f>
        <v>1.2</v>
      </c>
      <c r="R40" s="19" t="str">
        <f>Setup!B15</f>
        <v>pcDNA</v>
      </c>
      <c r="S40" s="13">
        <f>MAX(0,100-(IF(S37="",0,S37)+IF(S38="",0,S38)+IF(S39="",0,S39)+IF(S41="",0,S41)+IF(S42="",0,S42)+IF(S43="",0,S43)+IF(S44="",0,S44)))</f>
        <v>100</v>
      </c>
      <c r="T40" s="13">
        <f>IF(S40="",0,(Setup!C5*Setup!C4)*S40/100)</f>
        <v>1200</v>
      </c>
      <c r="U40" s="8">
        <f>IF(OR(Setup!C15="",Setup!C15=0,T40=0),"—",T40/Setup!C15)</f>
        <v>1.2</v>
      </c>
      <c r="W40" s="19" t="str">
        <f>Setup!B15</f>
        <v>pcDNA</v>
      </c>
      <c r="X40" s="13">
        <f>MAX(0,100-(IF(X37="",0,X37)+IF(X38="",0,X38)+IF(X39="",0,X39)+IF(X41="",0,X41)+IF(X42="",0,X42)+IF(X43="",0,X43)+IF(X44="",0,X44)))</f>
        <v>100</v>
      </c>
      <c r="Y40" s="13">
        <f>IF(X40="",0,(Setup!C5*Setup!C4)*X40/100)</f>
        <v>1200</v>
      </c>
      <c r="Z40" s="8">
        <f>IF(OR(Setup!C15="",Setup!C15=0,Y40=0),"—",Y40/Setup!C15)</f>
        <v>1.2</v>
      </c>
    </row>
    <row r="41" spans="1:26" ht="15.75" customHeight="1" x14ac:dyDescent="0.35">
      <c r="A41" s="74"/>
      <c r="B41" s="74"/>
      <c r="C41" s="19">
        <f>Setup!B16</f>
        <v>0</v>
      </c>
      <c r="D41" s="2"/>
      <c r="E41" s="13">
        <f>IF(D41="",0,(Setup!C5*Setup!C4)*D41/100)</f>
        <v>0</v>
      </c>
      <c r="F41" s="8" t="str">
        <f>IF(OR(Setup!C16="",Setup!C16=0,E41=0),"—",E41/Setup!C16)</f>
        <v>—</v>
      </c>
      <c r="H41" s="19">
        <f>Setup!B16</f>
        <v>0</v>
      </c>
      <c r="I41" s="2"/>
      <c r="J41" s="13">
        <f>IF(I41="",0,(Setup!C5*Setup!C4)*I41/100)</f>
        <v>0</v>
      </c>
      <c r="K41" s="8" t="str">
        <f>IF(OR(Setup!C16="",Setup!C16=0,J41=0),"—",J41/Setup!C16)</f>
        <v>—</v>
      </c>
      <c r="M41" s="19">
        <f>Setup!B16</f>
        <v>0</v>
      </c>
      <c r="N41" s="2"/>
      <c r="O41" s="13">
        <f>IF(N41="",0,(Setup!C5*Setup!C4)*N41/100)</f>
        <v>0</v>
      </c>
      <c r="P41" s="8" t="str">
        <f>IF(OR(Setup!C16="",Setup!C16=0,O41=0),"—",O41/Setup!C16)</f>
        <v>—</v>
      </c>
      <c r="R41" s="19">
        <f>Setup!B16</f>
        <v>0</v>
      </c>
      <c r="S41" s="2"/>
      <c r="T41" s="13">
        <f>IF(S41="",0,(Setup!C5*Setup!C4)*S41/100)</f>
        <v>0</v>
      </c>
      <c r="U41" s="8" t="str">
        <f>IF(OR(Setup!C16="",Setup!C16=0,T41=0),"—",T41/Setup!C16)</f>
        <v>—</v>
      </c>
      <c r="W41" s="19">
        <f>Setup!B16</f>
        <v>0</v>
      </c>
      <c r="X41" s="2"/>
      <c r="Y41" s="13">
        <f>IF(X41="",0,(Setup!C5*Setup!C4)*X41/100)</f>
        <v>0</v>
      </c>
      <c r="Z41" s="8" t="str">
        <f>IF(OR(Setup!C16="",Setup!C16=0,Y41=0),"—",Y41/Setup!C16)</f>
        <v>—</v>
      </c>
    </row>
    <row r="42" spans="1:26" ht="15.75" customHeight="1" x14ac:dyDescent="0.35">
      <c r="A42" s="74"/>
      <c r="B42" s="74"/>
      <c r="C42" s="19">
        <f>Setup!B17</f>
        <v>0</v>
      </c>
      <c r="D42" s="2"/>
      <c r="E42" s="13">
        <f>IF(D42="",0,(Setup!C5*Setup!C4)*D42/100)</f>
        <v>0</v>
      </c>
      <c r="F42" s="8" t="str">
        <f>IF(OR(Setup!C17="",Setup!C17=0,E42=0),"—",E42/Setup!C17)</f>
        <v>—</v>
      </c>
      <c r="H42" s="19">
        <f>Setup!B17</f>
        <v>0</v>
      </c>
      <c r="I42" s="2"/>
      <c r="J42" s="13">
        <f>IF(I42="",0,(Setup!C5*Setup!C4)*I42/100)</f>
        <v>0</v>
      </c>
      <c r="K42" s="8" t="str">
        <f>IF(OR(Setup!C17="",Setup!C17=0,J42=0),"—",J42/Setup!C17)</f>
        <v>—</v>
      </c>
      <c r="M42" s="19">
        <f>Setup!B17</f>
        <v>0</v>
      </c>
      <c r="N42" s="2"/>
      <c r="O42" s="13">
        <f>IF(N42="",0,(Setup!C5*Setup!C4)*N42/100)</f>
        <v>0</v>
      </c>
      <c r="P42" s="8" t="str">
        <f>IF(OR(Setup!C17="",Setup!C17=0,O42=0),"—",O42/Setup!C17)</f>
        <v>—</v>
      </c>
      <c r="R42" s="19">
        <f>Setup!B17</f>
        <v>0</v>
      </c>
      <c r="S42" s="2"/>
      <c r="T42" s="13">
        <f>IF(S42="",0,(Setup!C5*Setup!C4)*S42/100)</f>
        <v>0</v>
      </c>
      <c r="U42" s="8" t="str">
        <f>IF(OR(Setup!C17="",Setup!C17=0,T42=0),"—",T42/Setup!C17)</f>
        <v>—</v>
      </c>
      <c r="W42" s="19">
        <f>Setup!B17</f>
        <v>0</v>
      </c>
      <c r="X42" s="2"/>
      <c r="Y42" s="13">
        <f>IF(X42="",0,(Setup!C5*Setup!C4)*X42/100)</f>
        <v>0</v>
      </c>
      <c r="Z42" s="8" t="str">
        <f>IF(OR(Setup!C17="",Setup!C17=0,Y42=0),"—",Y42/Setup!C17)</f>
        <v>—</v>
      </c>
    </row>
    <row r="43" spans="1:26" ht="15.75" customHeight="1" x14ac:dyDescent="0.35">
      <c r="A43" s="74"/>
      <c r="B43" s="74"/>
      <c r="C43" s="19">
        <f>Setup!B18</f>
        <v>0</v>
      </c>
      <c r="D43" s="2"/>
      <c r="E43" s="13">
        <f>IF(D43="",0,(Setup!C5*Setup!C4)*D43/100)</f>
        <v>0</v>
      </c>
      <c r="F43" s="8" t="str">
        <f>IF(OR(Setup!C18="",Setup!C18=0,E43=0),"—",E43/Setup!C18)</f>
        <v>—</v>
      </c>
      <c r="H43" s="19">
        <f>Setup!B18</f>
        <v>0</v>
      </c>
      <c r="I43" s="2"/>
      <c r="J43" s="13">
        <f>IF(I43="",0,(Setup!C5*Setup!C4)*I43/100)</f>
        <v>0</v>
      </c>
      <c r="K43" s="8" t="str">
        <f>IF(OR(Setup!C18="",Setup!C18=0,J43=0),"—",J43/Setup!C18)</f>
        <v>—</v>
      </c>
      <c r="M43" s="19">
        <f>Setup!B18</f>
        <v>0</v>
      </c>
      <c r="N43" s="2"/>
      <c r="O43" s="13">
        <f>IF(N43="",0,(Setup!C5*Setup!C4)*N43/100)</f>
        <v>0</v>
      </c>
      <c r="P43" s="8" t="str">
        <f>IF(OR(Setup!C18="",Setup!C18=0,O43=0),"—",O43/Setup!C18)</f>
        <v>—</v>
      </c>
      <c r="R43" s="19">
        <f>Setup!B18</f>
        <v>0</v>
      </c>
      <c r="S43" s="2"/>
      <c r="T43" s="13">
        <f>IF(S43="",0,(Setup!C5*Setup!C4)*S43/100)</f>
        <v>0</v>
      </c>
      <c r="U43" s="8" t="str">
        <f>IF(OR(Setup!C18="",Setup!C18=0,T43=0),"—",T43/Setup!C18)</f>
        <v>—</v>
      </c>
      <c r="W43" s="19">
        <f>Setup!B18</f>
        <v>0</v>
      </c>
      <c r="X43" s="2"/>
      <c r="Y43" s="13">
        <f>IF(X43="",0,(Setup!C5*Setup!C4)*X43/100)</f>
        <v>0</v>
      </c>
      <c r="Z43" s="8" t="str">
        <f>IF(OR(Setup!C18="",Setup!C18=0,Y43=0),"—",Y43/Setup!C18)</f>
        <v>—</v>
      </c>
    </row>
    <row r="44" spans="1:26" ht="15.75" customHeight="1" x14ac:dyDescent="0.35">
      <c r="A44" s="74"/>
      <c r="B44" s="74"/>
      <c r="C44" s="19">
        <f>Setup!B19</f>
        <v>0</v>
      </c>
      <c r="D44" s="2"/>
      <c r="E44" s="13">
        <f>IF(D44="",0,(Setup!C5*Setup!C4)*D44/100)</f>
        <v>0</v>
      </c>
      <c r="F44" s="8" t="str">
        <f>IF(OR(Setup!C19="",Setup!C19=0,E44=0),"—",E44/Setup!C19)</f>
        <v>—</v>
      </c>
      <c r="H44" s="19">
        <f>Setup!B19</f>
        <v>0</v>
      </c>
      <c r="I44" s="2"/>
      <c r="J44" s="13">
        <f>IF(I44="",0,(Setup!C5*Setup!C4)*I44/100)</f>
        <v>0</v>
      </c>
      <c r="K44" s="8" t="str">
        <f>IF(OR(Setup!C19="",Setup!C19=0,J44=0),"—",J44/Setup!C19)</f>
        <v>—</v>
      </c>
      <c r="M44" s="19">
        <f>Setup!B19</f>
        <v>0</v>
      </c>
      <c r="N44" s="2"/>
      <c r="O44" s="13">
        <f>IF(N44="",0,(Setup!C5*Setup!C4)*N44/100)</f>
        <v>0</v>
      </c>
      <c r="P44" s="8" t="str">
        <f>IF(OR(Setup!C19="",Setup!C19=0,O44=0),"—",O44/Setup!C19)</f>
        <v>—</v>
      </c>
      <c r="R44" s="19">
        <f>Setup!B19</f>
        <v>0</v>
      </c>
      <c r="S44" s="2"/>
      <c r="T44" s="13">
        <f>IF(S44="",0,(Setup!C5*Setup!C4)*S44/100)</f>
        <v>0</v>
      </c>
      <c r="U44" s="8" t="str">
        <f>IF(OR(Setup!C19="",Setup!C19=0,T44=0),"—",T44/Setup!C19)</f>
        <v>—</v>
      </c>
      <c r="W44" s="19">
        <f>Setup!B19</f>
        <v>0</v>
      </c>
      <c r="X44" s="2"/>
      <c r="Y44" s="13">
        <f>IF(X44="",0,(Setup!C5*Setup!C4)*X44/100)</f>
        <v>0</v>
      </c>
      <c r="Z44" s="8" t="str">
        <f>IF(OR(Setup!C19="",Setup!C19=0,Y44=0),"—",Y44/Setup!C19)</f>
        <v>—</v>
      </c>
    </row>
    <row r="45" spans="1:26" ht="15.75" customHeight="1" x14ac:dyDescent="0.35">
      <c r="A45" s="74"/>
      <c r="B45" s="74"/>
      <c r="C45" s="20" t="s">
        <v>48</v>
      </c>
      <c r="D45" s="15">
        <f>SUMPRODUCT((D37:D44&lt;&gt;"")*(D37:D44))</f>
        <v>100</v>
      </c>
      <c r="E45" s="16">
        <f>SUM(E37:E44)</f>
        <v>1200</v>
      </c>
      <c r="F45" s="17">
        <f>SUM(F37:F44)</f>
        <v>1.2</v>
      </c>
      <c r="H45" s="20" t="s">
        <v>48</v>
      </c>
      <c r="I45" s="15">
        <f>SUMPRODUCT((I37:I44&lt;&gt;"")*(I37:I44))</f>
        <v>100</v>
      </c>
      <c r="J45" s="16">
        <f>SUM(J37:J44)</f>
        <v>1200</v>
      </c>
      <c r="K45" s="17">
        <f>SUM(K37:K44)</f>
        <v>1.2</v>
      </c>
      <c r="M45" s="20" t="s">
        <v>48</v>
      </c>
      <c r="N45" s="15">
        <f>SUMPRODUCT((N37:N44&lt;&gt;"")*(N37:N44))</f>
        <v>100</v>
      </c>
      <c r="O45" s="16">
        <f>SUM(O37:O44)</f>
        <v>1200</v>
      </c>
      <c r="P45" s="17">
        <f>SUM(P37:P44)</f>
        <v>1.2</v>
      </c>
      <c r="R45" s="20" t="s">
        <v>48</v>
      </c>
      <c r="S45" s="15">
        <f>SUMPRODUCT((S37:S44&lt;&gt;"")*(S37:S44))</f>
        <v>100</v>
      </c>
      <c r="T45" s="16">
        <f>SUM(T37:T44)</f>
        <v>1200</v>
      </c>
      <c r="U45" s="17">
        <f>SUM(U37:U44)</f>
        <v>1.2</v>
      </c>
      <c r="W45" s="20" t="s">
        <v>48</v>
      </c>
      <c r="X45" s="15">
        <f>SUMPRODUCT((X37:X44&lt;&gt;"")*(X37:X44))</f>
        <v>100</v>
      </c>
      <c r="Y45" s="16">
        <f>SUM(Y37:Y44)</f>
        <v>1200</v>
      </c>
      <c r="Z45" s="17">
        <f>SUM(Z37:Z44)</f>
        <v>1.2</v>
      </c>
    </row>
    <row r="46" spans="1:26" ht="15.75" customHeight="1" x14ac:dyDescent="0.35">
      <c r="A46" s="74"/>
      <c r="B46" s="74"/>
      <c r="C46" s="80" t="str">
        <f>IF(D45=100,"✓ OK","⚠ ≠ 100%")</f>
        <v>✓ OK</v>
      </c>
      <c r="D46" s="80"/>
      <c r="E46" s="81">
        <f>Setup!C26</f>
        <v>60</v>
      </c>
      <c r="F46" s="81"/>
      <c r="H46" s="82" t="str">
        <f>IF(I45=100,"✓ OK","⚠ ≠ 100%")</f>
        <v>✓ OK</v>
      </c>
      <c r="I46" s="82"/>
      <c r="J46" s="81">
        <f>Setup!C26</f>
        <v>60</v>
      </c>
      <c r="K46" s="81"/>
      <c r="M46" s="82" t="str">
        <f>IF(N45=100,"✓ OK","⚠ ≠ 100%")</f>
        <v>✓ OK</v>
      </c>
      <c r="N46" s="82"/>
      <c r="O46" s="81">
        <f>Setup!C26</f>
        <v>60</v>
      </c>
      <c r="P46" s="81"/>
      <c r="R46" s="82" t="str">
        <f>IF(S45=100,"✓ OK","⚠ ≠ 100%")</f>
        <v>✓ OK</v>
      </c>
      <c r="S46" s="82"/>
      <c r="T46" s="81">
        <f>Setup!C26</f>
        <v>60</v>
      </c>
      <c r="U46" s="81"/>
      <c r="W46" s="82" t="str">
        <f>IF(X45=100,"✓ OK","⚠ ≠ 100%")</f>
        <v>✓ OK</v>
      </c>
      <c r="X46" s="82"/>
      <c r="Y46" s="81">
        <f>Setup!C26</f>
        <v>60</v>
      </c>
      <c r="Z46" s="81"/>
    </row>
    <row r="47" spans="1:26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</sheetData>
  <mergeCells count="58">
    <mergeCell ref="W35:Z35"/>
    <mergeCell ref="C46:D46"/>
    <mergeCell ref="E46:F46"/>
    <mergeCell ref="H46:I46"/>
    <mergeCell ref="J46:K46"/>
    <mergeCell ref="M46:N46"/>
    <mergeCell ref="O46:P46"/>
    <mergeCell ref="R46:S46"/>
    <mergeCell ref="T46:U46"/>
    <mergeCell ref="W46:X46"/>
    <mergeCell ref="Y46:Z46"/>
    <mergeCell ref="A35:B46"/>
    <mergeCell ref="C35:F35"/>
    <mergeCell ref="H35:K35"/>
    <mergeCell ref="M35:P35"/>
    <mergeCell ref="R35:U35"/>
    <mergeCell ref="W22:Z22"/>
    <mergeCell ref="C33:D33"/>
    <mergeCell ref="E33:F33"/>
    <mergeCell ref="H33:I33"/>
    <mergeCell ref="J33:K33"/>
    <mergeCell ref="M33:N33"/>
    <mergeCell ref="O33:P33"/>
    <mergeCell ref="R33:S33"/>
    <mergeCell ref="T33:U33"/>
    <mergeCell ref="W33:X33"/>
    <mergeCell ref="Y33:Z33"/>
    <mergeCell ref="A22:B33"/>
    <mergeCell ref="C22:F22"/>
    <mergeCell ref="H22:K22"/>
    <mergeCell ref="M22:P22"/>
    <mergeCell ref="R22:U22"/>
    <mergeCell ref="W9:Z9"/>
    <mergeCell ref="C20:D20"/>
    <mergeCell ref="E20:F20"/>
    <mergeCell ref="H20:I20"/>
    <mergeCell ref="J20:K20"/>
    <mergeCell ref="M20:N20"/>
    <mergeCell ref="O20:P20"/>
    <mergeCell ref="R20:S20"/>
    <mergeCell ref="T20:U20"/>
    <mergeCell ref="W20:X20"/>
    <mergeCell ref="Y20:Z20"/>
    <mergeCell ref="A9:B20"/>
    <mergeCell ref="C9:F9"/>
    <mergeCell ref="H9:K9"/>
    <mergeCell ref="M9:P9"/>
    <mergeCell ref="R9:U9"/>
    <mergeCell ref="C8:F8"/>
    <mergeCell ref="H8:K8"/>
    <mergeCell ref="M8:P8"/>
    <mergeCell ref="R8:U8"/>
    <mergeCell ref="W8:Z8"/>
    <mergeCell ref="A1:Q1"/>
    <mergeCell ref="C3:F3"/>
    <mergeCell ref="G4:L4"/>
    <mergeCell ref="G5:L5"/>
    <mergeCell ref="G6:O6"/>
  </mergeCells>
  <pageMargins left="0.75" right="0.75" top="1" bottom="1" header="0.511811023622047" footer="0.511811023622047"/>
  <pageSetup paperSize="9" scale="5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235"/>
    <pageSetUpPr fitToPage="1"/>
  </sheetPr>
  <dimension ref="A1:U1000"/>
  <sheetViews>
    <sheetView zoomScale="115" zoomScaleNormal="11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M10" sqref="M10"/>
    </sheetView>
  </sheetViews>
  <sheetFormatPr defaultColWidth="14.453125" defaultRowHeight="14.5" x14ac:dyDescent="0.35"/>
  <cols>
    <col min="1" max="1" width="4" customWidth="1"/>
    <col min="2" max="2" width="5" customWidth="1"/>
    <col min="3" max="3" width="9.26953125" customWidth="1"/>
    <col min="4" max="4" width="10.7265625" customWidth="1"/>
    <col min="5" max="5" width="8.81640625" bestFit="1" customWidth="1"/>
    <col min="6" max="13" width="12" customWidth="1"/>
    <col min="14" max="25" width="8.6328125" customWidth="1"/>
  </cols>
  <sheetData>
    <row r="1" spans="1:21" ht="31.5" customHeight="1" x14ac:dyDescent="0.35">
      <c r="A1" s="67" t="s">
        <v>86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</row>
    <row r="3" spans="1:21" ht="14.25" customHeight="1" thickBot="1" x14ac:dyDescent="0.4">
      <c r="B3" s="90" t="s">
        <v>98</v>
      </c>
      <c r="C3" s="90" t="s">
        <v>100</v>
      </c>
      <c r="D3" s="90" t="s">
        <v>99</v>
      </c>
      <c r="E3" s="90" t="s">
        <v>19</v>
      </c>
      <c r="F3" s="35">
        <v>1</v>
      </c>
      <c r="G3" s="35">
        <v>2</v>
      </c>
      <c r="H3" s="35">
        <v>3</v>
      </c>
      <c r="I3" s="35">
        <v>4</v>
      </c>
      <c r="J3" s="35">
        <v>5</v>
      </c>
      <c r="K3" s="35">
        <v>6</v>
      </c>
      <c r="L3" s="35">
        <v>7</v>
      </c>
      <c r="M3" s="35">
        <v>8</v>
      </c>
      <c r="N3" s="35">
        <v>9</v>
      </c>
      <c r="O3" s="35">
        <v>10</v>
      </c>
      <c r="P3" s="35">
        <v>11</v>
      </c>
      <c r="Q3" s="35">
        <v>12</v>
      </c>
    </row>
    <row r="4" spans="1:21" ht="14.25" customHeight="1" x14ac:dyDescent="0.35">
      <c r="B4" s="90"/>
      <c r="C4" s="90"/>
      <c r="D4" s="90"/>
      <c r="E4" s="92"/>
      <c r="F4" s="87" t="s">
        <v>97</v>
      </c>
      <c r="G4" s="84"/>
      <c r="H4" s="87" t="s">
        <v>113</v>
      </c>
      <c r="I4" s="84"/>
      <c r="J4" s="83">
        <v>46204</v>
      </c>
      <c r="K4" s="84"/>
      <c r="L4" s="87" t="s">
        <v>115</v>
      </c>
      <c r="M4" s="84"/>
      <c r="N4" s="87" t="s">
        <v>114</v>
      </c>
      <c r="O4" s="84"/>
      <c r="P4" s="87"/>
      <c r="Q4" s="84"/>
    </row>
    <row r="5" spans="1:21" ht="15" thickBot="1" x14ac:dyDescent="0.4">
      <c r="B5" s="90"/>
      <c r="C5" s="91"/>
      <c r="D5" s="91"/>
      <c r="E5" s="93"/>
      <c r="F5" s="85"/>
      <c r="G5" s="86"/>
      <c r="H5" s="85"/>
      <c r="I5" s="86"/>
      <c r="J5" s="85"/>
      <c r="K5" s="86"/>
      <c r="L5" s="85"/>
      <c r="M5" s="86"/>
      <c r="N5" s="85"/>
      <c r="O5" s="86"/>
      <c r="P5" s="85"/>
      <c r="Q5" s="86"/>
    </row>
    <row r="6" spans="1:21" ht="15" thickBot="1" x14ac:dyDescent="0.4">
      <c r="B6" s="37" t="s">
        <v>87</v>
      </c>
      <c r="C6" s="94"/>
      <c r="D6" s="45" t="s">
        <v>22</v>
      </c>
      <c r="E6" s="46"/>
      <c r="F6" s="52"/>
      <c r="G6" s="52"/>
      <c r="H6" s="55"/>
      <c r="I6" s="55"/>
      <c r="J6" s="58"/>
      <c r="K6" s="58"/>
      <c r="L6" s="61"/>
      <c r="M6" s="61"/>
      <c r="N6" s="66"/>
      <c r="O6" s="66"/>
      <c r="P6" s="50"/>
      <c r="Q6" s="51"/>
    </row>
    <row r="7" spans="1:21" x14ac:dyDescent="0.35">
      <c r="B7" s="37" t="s">
        <v>88</v>
      </c>
      <c r="C7" s="88"/>
      <c r="D7" s="47" t="s">
        <v>111</v>
      </c>
      <c r="E7" s="48"/>
      <c r="F7" s="53"/>
      <c r="G7" s="53"/>
      <c r="H7" s="56"/>
      <c r="I7" s="56"/>
      <c r="J7" s="59"/>
      <c r="K7" s="59"/>
      <c r="L7" s="62"/>
      <c r="M7" s="62"/>
      <c r="N7" s="64"/>
      <c r="O7" s="64"/>
      <c r="P7" s="40"/>
      <c r="Q7" s="41"/>
    </row>
    <row r="8" spans="1:21" ht="29.5" thickBot="1" x14ac:dyDescent="0.4">
      <c r="B8" s="37" t="s">
        <v>89</v>
      </c>
      <c r="C8" s="88"/>
      <c r="D8" s="49" t="s">
        <v>110</v>
      </c>
      <c r="E8" s="44"/>
      <c r="F8" s="54"/>
      <c r="G8" s="54"/>
      <c r="H8" s="57"/>
      <c r="I8" s="57"/>
      <c r="J8" s="60"/>
      <c r="K8" s="60"/>
      <c r="L8" s="63"/>
      <c r="M8" s="63"/>
      <c r="N8" s="65"/>
      <c r="O8" s="65"/>
      <c r="P8" s="39"/>
      <c r="Q8" s="42"/>
    </row>
    <row r="9" spans="1:21" x14ac:dyDescent="0.35">
      <c r="B9" s="37" t="s">
        <v>90</v>
      </c>
      <c r="C9" s="88"/>
      <c r="D9" s="47" t="s">
        <v>108</v>
      </c>
      <c r="E9" s="48"/>
      <c r="F9" s="53"/>
      <c r="G9" s="53"/>
      <c r="H9" s="56"/>
      <c r="I9" s="56"/>
      <c r="J9" s="59"/>
      <c r="K9" s="59"/>
      <c r="L9" s="62"/>
      <c r="M9" s="62"/>
      <c r="N9" s="64"/>
      <c r="O9" s="64"/>
      <c r="P9" s="40"/>
      <c r="Q9" s="41"/>
    </row>
    <row r="10" spans="1:21" ht="29.5" thickBot="1" x14ac:dyDescent="0.4">
      <c r="B10" s="37" t="s">
        <v>91</v>
      </c>
      <c r="C10" s="88"/>
      <c r="D10" s="49" t="s">
        <v>109</v>
      </c>
      <c r="E10" s="44"/>
      <c r="F10" s="54"/>
      <c r="G10" s="54"/>
      <c r="H10" s="57"/>
      <c r="I10" s="57"/>
      <c r="J10" s="60"/>
      <c r="K10" s="60"/>
      <c r="L10" s="63"/>
      <c r="M10" s="63"/>
      <c r="N10" s="65"/>
      <c r="O10" s="65"/>
      <c r="P10" s="39"/>
      <c r="Q10" s="42"/>
    </row>
    <row r="11" spans="1:21" x14ac:dyDescent="0.35">
      <c r="B11" s="37" t="s">
        <v>92</v>
      </c>
      <c r="C11" s="88"/>
      <c r="D11" s="47" t="s">
        <v>112</v>
      </c>
      <c r="E11" s="48"/>
      <c r="F11" s="53"/>
      <c r="G11" s="53"/>
      <c r="H11" s="56"/>
      <c r="I11" s="56"/>
      <c r="J11" s="59"/>
      <c r="K11" s="59"/>
      <c r="L11" s="62"/>
      <c r="M11" s="62"/>
      <c r="N11" s="64"/>
      <c r="O11" s="64"/>
      <c r="P11" s="40"/>
      <c r="Q11" s="41"/>
    </row>
    <row r="12" spans="1:21" ht="29.5" thickBot="1" x14ac:dyDescent="0.4">
      <c r="B12" s="37" t="s">
        <v>93</v>
      </c>
      <c r="C12" s="88"/>
      <c r="D12" s="49" t="s">
        <v>109</v>
      </c>
      <c r="E12" s="44"/>
      <c r="F12" s="54"/>
      <c r="G12" s="54"/>
      <c r="H12" s="57"/>
      <c r="I12" s="57"/>
      <c r="J12" s="60"/>
      <c r="K12" s="60"/>
      <c r="L12" s="63"/>
      <c r="M12" s="63"/>
      <c r="N12" s="65"/>
      <c r="O12" s="65"/>
      <c r="P12" s="39"/>
      <c r="Q12" s="42"/>
    </row>
    <row r="13" spans="1:21" ht="15" thickBot="1" x14ac:dyDescent="0.4">
      <c r="B13" s="37" t="s">
        <v>94</v>
      </c>
      <c r="C13" s="89"/>
      <c r="D13" s="43"/>
      <c r="E13" s="44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42"/>
    </row>
    <row r="14" spans="1:21" ht="37" customHeight="1" x14ac:dyDescent="0.35"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</row>
    <row r="15" spans="1:21" x14ac:dyDescent="0.35">
      <c r="J15" s="33"/>
      <c r="K15" s="33"/>
      <c r="L15" s="33"/>
      <c r="M15" s="33"/>
      <c r="N15" s="33"/>
      <c r="O15" s="33"/>
      <c r="P15" s="33"/>
      <c r="Q15" s="33"/>
    </row>
    <row r="16" spans="1:21" ht="14.25" customHeight="1" x14ac:dyDescent="0.35">
      <c r="B16" s="33"/>
      <c r="J16" s="33"/>
      <c r="K16" s="33"/>
      <c r="L16" s="33"/>
      <c r="M16" s="33"/>
      <c r="N16" s="33"/>
      <c r="O16" s="33"/>
      <c r="P16" s="33"/>
      <c r="Q16" s="33"/>
    </row>
    <row r="17" spans="2:17" ht="14.25" customHeight="1" x14ac:dyDescent="0.35">
      <c r="B17" s="36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</row>
    <row r="18" spans="2:17" ht="15" customHeight="1" x14ac:dyDescent="0.35">
      <c r="B18" s="33"/>
      <c r="C18" s="33"/>
      <c r="D18" s="33"/>
      <c r="E18" s="33"/>
      <c r="F18" s="33"/>
      <c r="G18" s="33"/>
      <c r="H18" s="33"/>
      <c r="I18" s="34"/>
      <c r="J18" s="34"/>
      <c r="K18" s="34"/>
      <c r="L18" s="34"/>
      <c r="M18" s="34"/>
      <c r="N18" s="33"/>
      <c r="O18" s="33"/>
      <c r="P18" s="33"/>
      <c r="Q18" s="33"/>
    </row>
    <row r="19" spans="2:17" ht="15" customHeight="1" x14ac:dyDescent="0.35">
      <c r="B19" s="33"/>
      <c r="C19" s="33"/>
      <c r="D19" s="33"/>
      <c r="E19" s="33"/>
      <c r="F19" s="33"/>
      <c r="G19" s="33"/>
      <c r="H19" s="33"/>
      <c r="I19" s="34"/>
      <c r="J19" s="34"/>
      <c r="K19" s="34"/>
      <c r="L19" s="34"/>
      <c r="M19" s="34"/>
      <c r="N19" s="33"/>
      <c r="O19" s="33"/>
      <c r="P19" s="33"/>
      <c r="Q19" s="33"/>
    </row>
    <row r="20" spans="2:17" x14ac:dyDescent="0.35">
      <c r="B20" s="33"/>
      <c r="C20" s="33"/>
      <c r="D20" s="33"/>
      <c r="E20" s="33"/>
      <c r="F20" s="33"/>
      <c r="G20" s="33"/>
      <c r="H20" s="33"/>
      <c r="I20" s="34"/>
      <c r="J20" s="34"/>
      <c r="K20" s="34"/>
      <c r="L20" s="34"/>
      <c r="M20" s="34"/>
      <c r="N20" s="33"/>
      <c r="O20" s="33"/>
      <c r="P20" s="33"/>
      <c r="Q20" s="33"/>
    </row>
    <row r="21" spans="2:17" ht="15.75" customHeight="1" x14ac:dyDescent="0.35">
      <c r="C21" s="33"/>
      <c r="D21" s="33"/>
      <c r="E21" s="33"/>
      <c r="F21" s="33"/>
      <c r="G21" s="33"/>
      <c r="H21" s="33"/>
      <c r="I21" s="34"/>
      <c r="J21" s="34"/>
      <c r="K21" s="34"/>
      <c r="L21" s="34"/>
      <c r="M21" s="34"/>
    </row>
    <row r="22" spans="2:17" ht="15.75" customHeight="1" x14ac:dyDescent="0.35">
      <c r="C22" s="33"/>
      <c r="D22" s="33"/>
      <c r="E22" s="33"/>
      <c r="F22" s="33"/>
      <c r="G22" s="33"/>
      <c r="H22" s="33"/>
      <c r="I22" s="34"/>
      <c r="J22" s="34"/>
      <c r="K22" s="34"/>
      <c r="L22" s="34"/>
      <c r="M22" s="34"/>
    </row>
    <row r="23" spans="2:17" ht="15.75" customHeight="1" x14ac:dyDescent="0.35">
      <c r="C23" s="33"/>
      <c r="D23" s="33"/>
      <c r="E23" s="33"/>
      <c r="F23" s="33"/>
      <c r="G23" s="33"/>
      <c r="H23" s="33"/>
      <c r="I23" s="34"/>
      <c r="J23" s="34"/>
      <c r="K23" s="34"/>
      <c r="L23" s="34"/>
      <c r="M23" s="34"/>
    </row>
    <row r="24" spans="2:17" ht="15.75" customHeight="1" x14ac:dyDescent="0.35">
      <c r="I24" s="34"/>
      <c r="J24" s="34"/>
      <c r="K24" s="34"/>
      <c r="L24" s="34"/>
      <c r="M24" s="34"/>
    </row>
    <row r="25" spans="2:17" ht="15.75" customHeight="1" x14ac:dyDescent="0.35">
      <c r="I25" s="34"/>
      <c r="J25" s="34"/>
      <c r="K25" s="34"/>
      <c r="L25" s="34"/>
      <c r="M25" s="34"/>
    </row>
    <row r="26" spans="2:17" ht="15.75" customHeight="1" x14ac:dyDescent="0.35">
      <c r="I26" s="34"/>
      <c r="J26" s="34"/>
      <c r="K26" s="34"/>
      <c r="L26" s="34"/>
      <c r="M26" s="34"/>
    </row>
    <row r="27" spans="2:17" ht="15.75" customHeight="1" x14ac:dyDescent="0.35">
      <c r="I27" s="34"/>
      <c r="J27" s="34"/>
      <c r="K27" s="34"/>
      <c r="L27" s="34"/>
      <c r="M27" s="34"/>
    </row>
    <row r="28" spans="2:17" ht="15.75" customHeight="1" x14ac:dyDescent="0.35"/>
    <row r="29" spans="2:17" ht="15.75" customHeight="1" x14ac:dyDescent="0.35"/>
    <row r="30" spans="2:17" ht="15.75" customHeight="1" x14ac:dyDescent="0.35"/>
    <row r="31" spans="2:17" ht="15.75" customHeight="1" x14ac:dyDescent="0.35"/>
    <row r="32" spans="2:17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5">
    <mergeCell ref="A1:M1"/>
    <mergeCell ref="B3:B5"/>
    <mergeCell ref="C3:C5"/>
    <mergeCell ref="D3:D5"/>
    <mergeCell ref="E3:E5"/>
    <mergeCell ref="F4:G5"/>
    <mergeCell ref="H4:I5"/>
    <mergeCell ref="J4:K5"/>
    <mergeCell ref="L4:M5"/>
    <mergeCell ref="N4:O5"/>
    <mergeCell ref="P4:Q5"/>
    <mergeCell ref="C12:C13"/>
    <mergeCell ref="C10:C11"/>
    <mergeCell ref="C8:C9"/>
    <mergeCell ref="C6:C7"/>
  </mergeCells>
  <pageMargins left="0.75" right="0.75" top="1" bottom="1" header="0.511811023622047" footer="0.511811023622047"/>
  <pageSetup paperSize="9" scale="7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  <pageSetUpPr fitToPage="1"/>
  </sheetPr>
  <dimension ref="A1:AQ1000"/>
  <sheetViews>
    <sheetView tabSelected="1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N23" sqref="N23"/>
    </sheetView>
  </sheetViews>
  <sheetFormatPr defaultColWidth="14.453125" defaultRowHeight="14.5" x14ac:dyDescent="0.35"/>
  <cols>
    <col min="1" max="1" width="3" style="22" customWidth="1"/>
    <col min="2" max="2" width="11" style="22" customWidth="1"/>
    <col min="3" max="4" width="12" style="22" customWidth="1"/>
    <col min="5" max="5" width="13" style="22" customWidth="1"/>
    <col min="6" max="7" width="10" style="22" customWidth="1"/>
    <col min="8" max="8" width="2" style="22" customWidth="1"/>
    <col min="9" max="9" width="11" style="22" customWidth="1"/>
    <col min="10" max="11" width="12" style="22" customWidth="1"/>
    <col min="12" max="12" width="13" style="22" customWidth="1"/>
    <col min="13" max="14" width="10" style="22" customWidth="1"/>
    <col min="15" max="15" width="2" style="22" customWidth="1"/>
    <col min="16" max="16" width="11" style="22" customWidth="1"/>
    <col min="17" max="18" width="12" style="22" customWidth="1"/>
    <col min="19" max="19" width="13" style="22" customWidth="1"/>
    <col min="20" max="21" width="10" style="22" customWidth="1"/>
    <col min="22" max="22" width="2" style="22" customWidth="1"/>
    <col min="23" max="23" width="11" style="22" customWidth="1"/>
    <col min="24" max="25" width="12" style="22" customWidth="1"/>
    <col min="26" max="26" width="13" style="22" customWidth="1"/>
    <col min="27" max="28" width="10" style="22" customWidth="1"/>
    <col min="29" max="29" width="2" style="22" customWidth="1"/>
    <col min="30" max="30" width="11" style="22" customWidth="1"/>
    <col min="31" max="32" width="12" style="22" customWidth="1"/>
    <col min="33" max="33" width="13" style="22" customWidth="1"/>
    <col min="34" max="35" width="10" style="22" customWidth="1"/>
    <col min="36" max="36" width="2" style="22" customWidth="1"/>
    <col min="37" max="37" width="11" style="22" customWidth="1"/>
    <col min="38" max="39" width="12" style="22" customWidth="1"/>
    <col min="40" max="40" width="13" style="22" customWidth="1"/>
    <col min="41" max="42" width="10" style="22" customWidth="1"/>
    <col min="43" max="43" width="2" style="22" customWidth="1"/>
    <col min="44" max="16384" width="14.453125" style="22"/>
  </cols>
  <sheetData>
    <row r="1" spans="1:43" ht="31.5" customHeight="1" x14ac:dyDescent="0.35">
      <c r="A1" s="95" t="s">
        <v>68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</row>
    <row r="2" spans="1:43" s="100" customFormat="1" ht="14.25" customHeight="1" x14ac:dyDescent="0.35">
      <c r="B2" s="101"/>
      <c r="C2" s="102" t="s">
        <v>118</v>
      </c>
      <c r="D2" s="102"/>
      <c r="E2" s="102"/>
      <c r="F2" s="102"/>
      <c r="G2" s="101"/>
      <c r="H2" s="101"/>
      <c r="I2" s="101"/>
      <c r="J2" s="102" t="s">
        <v>122</v>
      </c>
      <c r="K2" s="102"/>
      <c r="L2" s="102"/>
      <c r="M2" s="102"/>
      <c r="N2" s="101"/>
      <c r="O2" s="101"/>
      <c r="P2" s="101"/>
      <c r="Q2" s="102" t="s">
        <v>121</v>
      </c>
      <c r="R2" s="102"/>
      <c r="S2" s="102"/>
      <c r="T2" s="102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</row>
    <row r="3" spans="1:43" ht="14.25" customHeight="1" x14ac:dyDescent="0.35">
      <c r="B3" s="96" t="s">
        <v>113</v>
      </c>
      <c r="C3" s="96"/>
      <c r="D3" s="96"/>
      <c r="E3" s="96"/>
      <c r="F3" s="96"/>
      <c r="G3" s="96"/>
      <c r="I3" s="96" t="s">
        <v>116</v>
      </c>
      <c r="J3" s="96"/>
      <c r="K3" s="96"/>
      <c r="L3" s="96"/>
      <c r="M3" s="96"/>
      <c r="N3" s="96"/>
      <c r="P3" s="96" t="s">
        <v>117</v>
      </c>
      <c r="Q3" s="96"/>
      <c r="R3" s="96"/>
      <c r="S3" s="96"/>
      <c r="T3" s="96"/>
      <c r="U3" s="96"/>
      <c r="W3" s="96" t="s">
        <v>69</v>
      </c>
      <c r="X3" s="96"/>
      <c r="Y3" s="96"/>
      <c r="Z3" s="96"/>
      <c r="AA3" s="96"/>
      <c r="AB3" s="96"/>
      <c r="AD3" s="96" t="s">
        <v>70</v>
      </c>
      <c r="AE3" s="96"/>
      <c r="AF3" s="96"/>
      <c r="AG3" s="96"/>
      <c r="AH3" s="96"/>
      <c r="AI3" s="96"/>
      <c r="AK3" s="96" t="s">
        <v>71</v>
      </c>
      <c r="AL3" s="96"/>
      <c r="AM3" s="96"/>
      <c r="AN3" s="96"/>
      <c r="AO3" s="96"/>
      <c r="AP3" s="96"/>
    </row>
    <row r="4" spans="1:43" ht="14.25" customHeight="1" x14ac:dyDescent="0.35">
      <c r="B4" s="23" t="s">
        <v>72</v>
      </c>
      <c r="D4" s="96">
        <v>200</v>
      </c>
      <c r="E4" s="96"/>
      <c r="I4" s="23" t="s">
        <v>72</v>
      </c>
      <c r="K4" s="96">
        <v>200</v>
      </c>
      <c r="L4" s="96"/>
      <c r="P4" s="23" t="s">
        <v>72</v>
      </c>
      <c r="R4" s="96">
        <v>200</v>
      </c>
      <c r="S4" s="96"/>
      <c r="W4" s="23" t="s">
        <v>72</v>
      </c>
      <c r="Y4" s="96">
        <v>200</v>
      </c>
      <c r="Z4" s="96"/>
      <c r="AD4" s="23" t="s">
        <v>72</v>
      </c>
      <c r="AF4" s="96">
        <v>200</v>
      </c>
      <c r="AG4" s="96"/>
      <c r="AK4" s="23" t="s">
        <v>72</v>
      </c>
      <c r="AM4" s="96">
        <v>200</v>
      </c>
      <c r="AN4" s="96"/>
    </row>
    <row r="5" spans="1:43" ht="14.25" customHeight="1" x14ac:dyDescent="0.35">
      <c r="B5" s="23" t="s">
        <v>73</v>
      </c>
      <c r="D5" s="96">
        <v>10</v>
      </c>
      <c r="E5" s="96"/>
      <c r="I5" s="23" t="s">
        <v>73</v>
      </c>
      <c r="K5" s="96">
        <v>10</v>
      </c>
      <c r="L5" s="96"/>
      <c r="P5" s="23" t="s">
        <v>73</v>
      </c>
      <c r="R5" s="96">
        <v>10</v>
      </c>
      <c r="S5" s="96"/>
      <c r="W5" s="23" t="s">
        <v>73</v>
      </c>
      <c r="Y5" s="96">
        <v>2</v>
      </c>
      <c r="Z5" s="96"/>
      <c r="AD5" s="23" t="s">
        <v>73</v>
      </c>
      <c r="AF5" s="96">
        <v>2</v>
      </c>
      <c r="AG5" s="96"/>
      <c r="AK5" s="23" t="s">
        <v>73</v>
      </c>
      <c r="AM5" s="96">
        <v>2</v>
      </c>
      <c r="AN5" s="96"/>
    </row>
    <row r="6" spans="1:43" ht="14.25" customHeight="1" x14ac:dyDescent="0.35">
      <c r="B6" s="23" t="s">
        <v>74</v>
      </c>
      <c r="D6" s="96">
        <v>100</v>
      </c>
      <c r="E6" s="96"/>
      <c r="I6" s="23" t="s">
        <v>74</v>
      </c>
      <c r="K6" s="96">
        <v>1000</v>
      </c>
      <c r="L6" s="96"/>
      <c r="P6" s="23" t="s">
        <v>74</v>
      </c>
      <c r="R6" s="96">
        <v>30000</v>
      </c>
      <c r="S6" s="96"/>
      <c r="W6" s="23" t="s">
        <v>74</v>
      </c>
      <c r="Y6" s="96">
        <v>100</v>
      </c>
      <c r="Z6" s="96"/>
      <c r="AD6" s="23" t="s">
        <v>74</v>
      </c>
      <c r="AF6" s="96">
        <v>100</v>
      </c>
      <c r="AG6" s="96"/>
      <c r="AK6" s="23" t="s">
        <v>74</v>
      </c>
      <c r="AM6" s="96">
        <v>100</v>
      </c>
      <c r="AN6" s="96"/>
    </row>
    <row r="7" spans="1:43" s="24" customFormat="1" ht="14.25" customHeight="1" x14ac:dyDescent="0.35">
      <c r="B7" s="25" t="s">
        <v>75</v>
      </c>
      <c r="D7" s="97">
        <v>1</v>
      </c>
      <c r="E7" s="97"/>
      <c r="I7" s="25" t="s">
        <v>75</v>
      </c>
      <c r="K7" s="97">
        <v>1</v>
      </c>
      <c r="L7" s="97"/>
      <c r="P7" s="25" t="s">
        <v>75</v>
      </c>
      <c r="R7" s="97">
        <v>1</v>
      </c>
      <c r="S7" s="97"/>
      <c r="W7" s="25" t="s">
        <v>75</v>
      </c>
      <c r="Y7" s="97">
        <v>1.2</v>
      </c>
      <c r="Z7" s="97"/>
      <c r="AD7" s="25" t="s">
        <v>75</v>
      </c>
      <c r="AF7" s="97">
        <v>1.2</v>
      </c>
      <c r="AG7" s="97"/>
      <c r="AK7" s="25" t="s">
        <v>75</v>
      </c>
      <c r="AM7" s="97">
        <v>1.2</v>
      </c>
      <c r="AN7" s="97"/>
    </row>
    <row r="8" spans="1:43" ht="14.25" customHeight="1" x14ac:dyDescent="0.35">
      <c r="B8" s="98" t="s">
        <v>76</v>
      </c>
      <c r="C8" s="98"/>
      <c r="D8" s="98"/>
      <c r="E8" s="98"/>
      <c r="F8" s="98"/>
      <c r="G8" s="98"/>
      <c r="I8" s="98" t="s">
        <v>76</v>
      </c>
      <c r="J8" s="98"/>
      <c r="K8" s="98"/>
      <c r="L8" s="98"/>
      <c r="M8" s="98"/>
      <c r="N8" s="98"/>
      <c r="P8" s="98" t="s">
        <v>76</v>
      </c>
      <c r="Q8" s="98"/>
      <c r="R8" s="98"/>
      <c r="S8" s="98"/>
      <c r="T8" s="98"/>
      <c r="U8" s="98"/>
      <c r="W8" s="98" t="s">
        <v>76</v>
      </c>
      <c r="X8" s="98"/>
      <c r="Y8" s="98"/>
      <c r="Z8" s="98"/>
      <c r="AA8" s="98"/>
      <c r="AB8" s="98"/>
      <c r="AD8" s="98" t="s">
        <v>76</v>
      </c>
      <c r="AE8" s="98"/>
      <c r="AF8" s="98"/>
      <c r="AG8" s="98"/>
      <c r="AH8" s="98"/>
      <c r="AI8" s="98"/>
      <c r="AK8" s="98" t="s">
        <v>76</v>
      </c>
      <c r="AL8" s="98"/>
      <c r="AM8" s="98"/>
      <c r="AN8" s="98"/>
      <c r="AO8" s="98"/>
      <c r="AP8" s="98"/>
    </row>
    <row r="9" spans="1:43" ht="21" customHeight="1" x14ac:dyDescent="0.35">
      <c r="B9" s="26" t="s">
        <v>77</v>
      </c>
      <c r="C9" s="26" t="s">
        <v>78</v>
      </c>
      <c r="D9" s="26" t="s">
        <v>79</v>
      </c>
      <c r="E9" s="26" t="s">
        <v>80</v>
      </c>
      <c r="F9" s="26" t="s">
        <v>81</v>
      </c>
      <c r="G9" s="26" t="s">
        <v>82</v>
      </c>
      <c r="I9" s="26" t="s">
        <v>77</v>
      </c>
      <c r="J9" s="26" t="s">
        <v>78</v>
      </c>
      <c r="K9" s="26" t="s">
        <v>79</v>
      </c>
      <c r="L9" s="26" t="s">
        <v>80</v>
      </c>
      <c r="M9" s="26" t="s">
        <v>81</v>
      </c>
      <c r="N9" s="26" t="s">
        <v>82</v>
      </c>
      <c r="P9" s="26" t="s">
        <v>77</v>
      </c>
      <c r="Q9" s="26" t="s">
        <v>78</v>
      </c>
      <c r="R9" s="26" t="s">
        <v>79</v>
      </c>
      <c r="S9" s="26" t="s">
        <v>80</v>
      </c>
      <c r="T9" s="26" t="s">
        <v>81</v>
      </c>
      <c r="U9" s="26" t="s">
        <v>82</v>
      </c>
      <c r="W9" s="26" t="s">
        <v>77</v>
      </c>
      <c r="X9" s="26" t="s">
        <v>78</v>
      </c>
      <c r="Y9" s="26" t="s">
        <v>79</v>
      </c>
      <c r="Z9" s="26" t="s">
        <v>80</v>
      </c>
      <c r="AA9" s="26" t="s">
        <v>81</v>
      </c>
      <c r="AB9" s="26" t="s">
        <v>82</v>
      </c>
      <c r="AD9" s="26" t="s">
        <v>77</v>
      </c>
      <c r="AE9" s="26" t="s">
        <v>78</v>
      </c>
      <c r="AF9" s="26" t="s">
        <v>79</v>
      </c>
      <c r="AG9" s="26" t="s">
        <v>80</v>
      </c>
      <c r="AH9" s="26" t="s">
        <v>81</v>
      </c>
      <c r="AI9" s="26" t="s">
        <v>82</v>
      </c>
      <c r="AK9" s="26" t="s">
        <v>77</v>
      </c>
      <c r="AL9" s="26" t="s">
        <v>78</v>
      </c>
      <c r="AM9" s="26" t="s">
        <v>79</v>
      </c>
      <c r="AN9" s="26" t="s">
        <v>80</v>
      </c>
      <c r="AO9" s="26" t="s">
        <v>81</v>
      </c>
      <c r="AP9" s="26" t="s">
        <v>82</v>
      </c>
    </row>
    <row r="10" spans="1:43" ht="14.25" customHeight="1" x14ac:dyDescent="0.35">
      <c r="B10" s="27">
        <v>-6</v>
      </c>
      <c r="C10" s="28">
        <f t="shared" ref="C10:C21" si="0">IF(B10="","",(10^B10)*1000000)</f>
        <v>1</v>
      </c>
      <c r="D10" s="29">
        <f>IF(B10="","",IF(B11="",CEILING(D4*D7,1),CEILING(D4*D7+(D11*C11)/C10,1)))</f>
        <v>200</v>
      </c>
      <c r="E10" s="30">
        <f>IF(B10="","",(D10*C10*D5)/D6)</f>
        <v>20</v>
      </c>
      <c r="F10" s="30">
        <f t="shared" ref="F10:F21" si="1">IF(B10="","",D10-E10)</f>
        <v>180</v>
      </c>
      <c r="G10" s="30">
        <f t="shared" ref="G10:G20" si="2">IF(B10="","",IF(B11="",D10,D10-E11))</f>
        <v>200</v>
      </c>
      <c r="I10" s="27">
        <v>-4.5199999999999996</v>
      </c>
      <c r="J10" s="28">
        <f t="shared" ref="J10:J21" si="3">IF(I10="","",(10^I10)*1000000)</f>
        <v>30.199517204020179</v>
      </c>
      <c r="K10" s="29">
        <f>IF(I10="","",IF(I11="",CEILING(K4*K7,1),CEILING(K4*K7+(K11*J11)/J10,1)))</f>
        <v>200</v>
      </c>
      <c r="L10" s="30">
        <f>IF(I10="","",(K10*J10*K5)/K6)</f>
        <v>60.399034408040357</v>
      </c>
      <c r="M10" s="30">
        <f t="shared" ref="M10:M21" si="4">IF(I10="","",K10-L10)</f>
        <v>139.60096559195964</v>
      </c>
      <c r="N10" s="30">
        <f t="shared" ref="N10:N20" si="5">IF(I10="","",IF(I11="",K10,K10-L11))</f>
        <v>200</v>
      </c>
      <c r="P10" s="27">
        <v>-5</v>
      </c>
      <c r="Q10" s="28">
        <f t="shared" ref="Q10:Q21" si="6">IF(P10="","",(10^P10)*1000000)</f>
        <v>10</v>
      </c>
      <c r="R10" s="29">
        <f>IF(P10="","",IF(P11="",CEILING(R4*R7,1),CEILING(R4*R7+(R11*Q11)/Q10,1)))</f>
        <v>220</v>
      </c>
      <c r="S10" s="30">
        <f>IF(P10="","",(R10*Q10*R5)/R6)</f>
        <v>0.73333333333333328</v>
      </c>
      <c r="T10" s="30">
        <f t="shared" ref="T10:T21" si="7">IF(P10="","",R10-S10)</f>
        <v>219.26666666666668</v>
      </c>
      <c r="U10" s="30">
        <f t="shared" ref="U10:U20" si="8">IF(P10="","",IF(P11="",R10,R10-S11))</f>
        <v>200</v>
      </c>
      <c r="W10" s="27"/>
      <c r="X10" s="28" t="str">
        <f t="shared" ref="X10:X21" si="9">IF(W10="","",(10^W10)*1000000)</f>
        <v/>
      </c>
      <c r="Y10" s="29" t="str">
        <f>IF(W10="","",IF(W11="",CEILING(Y4*Y7,1),CEILING(Y4*Y7+(Y11*X11)/X10,1)))</f>
        <v/>
      </c>
      <c r="Z10" s="30" t="str">
        <f>IF(W10="","",(Y10*X10*Y5)/Y6)</f>
        <v/>
      </c>
      <c r="AA10" s="30" t="str">
        <f t="shared" ref="AA10:AA21" si="10">IF(W10="","",Y10-Z10)</f>
        <v/>
      </c>
      <c r="AB10" s="30" t="str">
        <f t="shared" ref="AB10:AB20" si="11">IF(W10="","",IF(W11="",Y10,Y10-Z11))</f>
        <v/>
      </c>
      <c r="AD10" s="27"/>
      <c r="AE10" s="28" t="str">
        <f t="shared" ref="AE10:AE21" si="12">IF(AD10="","",(10^AD10)*1000000)</f>
        <v/>
      </c>
      <c r="AF10" s="29" t="str">
        <f>IF(AD10="","",IF(AD11="",CEILING(AF4*AF7,1),CEILING(AF4*AF7+(AF11*AE11)/AE10,1)))</f>
        <v/>
      </c>
      <c r="AG10" s="30" t="str">
        <f>IF(AD10="","",(AF10*AE10*AF5)/AF6)</f>
        <v/>
      </c>
      <c r="AH10" s="30" t="str">
        <f t="shared" ref="AH10:AH21" si="13">IF(AD10="","",AF10-AG10)</f>
        <v/>
      </c>
      <c r="AI10" s="30" t="str">
        <f t="shared" ref="AI10:AI20" si="14">IF(AD10="","",IF(AD11="",AF10,AF10-AG11))</f>
        <v/>
      </c>
      <c r="AK10" s="27"/>
      <c r="AL10" s="28" t="str">
        <f t="shared" ref="AL10:AL21" si="15">IF(AK10="","",(10^AK10)*1000000)</f>
        <v/>
      </c>
      <c r="AM10" s="29" t="str">
        <f>IF(AK10="","",IF(AK11="",CEILING(AM4*AM7,1),CEILING(AM4*AM7+(AM11*AL11)/AL10,1)))</f>
        <v/>
      </c>
      <c r="AN10" s="30" t="str">
        <f>IF(AK10="","",(AM10*AL10*AM5)/AM6)</f>
        <v/>
      </c>
      <c r="AO10" s="30" t="str">
        <f t="shared" ref="AO10:AO21" si="16">IF(AK10="","",AM10-AN10)</f>
        <v/>
      </c>
      <c r="AP10" s="30" t="str">
        <f t="shared" ref="AP10:AP20" si="17">IF(AK10="","",IF(AK11="",AM10,AM10-AN11))</f>
        <v/>
      </c>
    </row>
    <row r="11" spans="1:43" ht="14.25" customHeight="1" x14ac:dyDescent="0.35">
      <c r="B11" s="27"/>
      <c r="C11" s="28" t="str">
        <f t="shared" si="0"/>
        <v/>
      </c>
      <c r="D11" s="29" t="str">
        <f>IF(B11="","",IF(B12="",CEILING(D4*D7,1),CEILING(D4*D7+(D12*C12)/C11,1)))</f>
        <v/>
      </c>
      <c r="E11" s="30" t="str">
        <f t="shared" ref="E11:E21" si="18">IF(B11="","",(D11*C11)/C10)</f>
        <v/>
      </c>
      <c r="F11" s="30" t="str">
        <f t="shared" si="1"/>
        <v/>
      </c>
      <c r="G11" s="30" t="str">
        <f t="shared" si="2"/>
        <v/>
      </c>
      <c r="I11" s="27"/>
      <c r="J11" s="28" t="str">
        <f t="shared" si="3"/>
        <v/>
      </c>
      <c r="K11" s="29" t="str">
        <f>IF(I11="","",IF(I12="",CEILING(K4*K7,1),CEILING(K4*K7+(K12*J12)/J11,1)))</f>
        <v/>
      </c>
      <c r="L11" s="30" t="str">
        <f t="shared" ref="L11:L21" si="19">IF(I11="","",(K11*J11)/J10)</f>
        <v/>
      </c>
      <c r="M11" s="30" t="str">
        <f t="shared" si="4"/>
        <v/>
      </c>
      <c r="N11" s="30" t="str">
        <f t="shared" si="5"/>
        <v/>
      </c>
      <c r="P11" s="27">
        <v>-6</v>
      </c>
      <c r="Q11" s="28">
        <f t="shared" si="6"/>
        <v>1</v>
      </c>
      <c r="R11" s="29">
        <f>IF(P11="","",IF(P12="",CEILING(R4*R7,1),CEILING(R4*R7+(R12*Q12)/Q11,1)))</f>
        <v>200</v>
      </c>
      <c r="S11" s="30">
        <f t="shared" ref="S11:S21" si="20">IF(P11="","",(R11*Q11)/Q10)</f>
        <v>20</v>
      </c>
      <c r="T11" s="30">
        <f t="shared" si="7"/>
        <v>180</v>
      </c>
      <c r="U11" s="30">
        <f t="shared" si="8"/>
        <v>200</v>
      </c>
      <c r="W11" s="27"/>
      <c r="X11" s="28" t="str">
        <f t="shared" si="9"/>
        <v/>
      </c>
      <c r="Y11" s="29" t="str">
        <f>IF(W11="","",IF(W12="",CEILING(Y4*Y7,1),CEILING(Y4*Y7+(Y12*X12)/X11,1)))</f>
        <v/>
      </c>
      <c r="Z11" s="30" t="str">
        <f t="shared" ref="Z11:Z21" si="21">IF(W11="","",(Y11*X11)/X10)</f>
        <v/>
      </c>
      <c r="AA11" s="30" t="str">
        <f t="shared" si="10"/>
        <v/>
      </c>
      <c r="AB11" s="30" t="str">
        <f t="shared" si="11"/>
        <v/>
      </c>
      <c r="AD11" s="27"/>
      <c r="AE11" s="28" t="str">
        <f t="shared" si="12"/>
        <v/>
      </c>
      <c r="AF11" s="29" t="str">
        <f>IF(AD11="","",IF(AD12="",CEILING(AF4*AF7,1),CEILING(AF4*AF7+(AF12*AE12)/AE11,1)))</f>
        <v/>
      </c>
      <c r="AG11" s="30" t="str">
        <f t="shared" ref="AG11:AG21" si="22">IF(AD11="","",(AF11*AE11)/AE10)</f>
        <v/>
      </c>
      <c r="AH11" s="30" t="str">
        <f t="shared" si="13"/>
        <v/>
      </c>
      <c r="AI11" s="30" t="str">
        <f t="shared" si="14"/>
        <v/>
      </c>
      <c r="AK11" s="27"/>
      <c r="AL11" s="28" t="str">
        <f t="shared" si="15"/>
        <v/>
      </c>
      <c r="AM11" s="29" t="str">
        <f>IF(AK11="","",IF(AK12="",CEILING(AM4*AM7,1),CEILING(AM4*AM7+(AM12*AL12)/AL11,1)))</f>
        <v/>
      </c>
      <c r="AN11" s="30" t="str">
        <f t="shared" ref="AN11:AN21" si="23">IF(AK11="","",(AM11*AL11)/AL10)</f>
        <v/>
      </c>
      <c r="AO11" s="30" t="str">
        <f t="shared" si="16"/>
        <v/>
      </c>
      <c r="AP11" s="30" t="str">
        <f t="shared" si="17"/>
        <v/>
      </c>
    </row>
    <row r="12" spans="1:43" ht="14.25" customHeight="1" x14ac:dyDescent="0.35">
      <c r="B12" s="27"/>
      <c r="C12" s="28" t="str">
        <f t="shared" si="0"/>
        <v/>
      </c>
      <c r="D12" s="29" t="str">
        <f>IF(B12="","",IF(B13="",CEILING(D4*D7,1),CEILING(D4*D7+(D13*C13)/C12,1)))</f>
        <v/>
      </c>
      <c r="E12" s="30" t="str">
        <f t="shared" si="18"/>
        <v/>
      </c>
      <c r="F12" s="30" t="str">
        <f t="shared" si="1"/>
        <v/>
      </c>
      <c r="G12" s="30" t="str">
        <f t="shared" si="2"/>
        <v/>
      </c>
      <c r="I12" s="27"/>
      <c r="J12" s="28" t="str">
        <f t="shared" si="3"/>
        <v/>
      </c>
      <c r="K12" s="29" t="str">
        <f>IF(I12="","",IF(I13="",CEILING(K4*K7,1),CEILING(K4*K7+(K13*J13)/J12,1)))</f>
        <v/>
      </c>
      <c r="L12" s="30" t="str">
        <f t="shared" si="19"/>
        <v/>
      </c>
      <c r="M12" s="30" t="str">
        <f t="shared" si="4"/>
        <v/>
      </c>
      <c r="N12" s="30" t="str">
        <f t="shared" si="5"/>
        <v/>
      </c>
      <c r="P12" s="27"/>
      <c r="Q12" s="28" t="str">
        <f t="shared" si="6"/>
        <v/>
      </c>
      <c r="R12" s="29" t="str">
        <f>IF(P12="","",IF(P13="",CEILING(R4*R7,1),CEILING(R4*R7+(R13*Q13)/Q12,1)))</f>
        <v/>
      </c>
      <c r="S12" s="30" t="str">
        <f t="shared" si="20"/>
        <v/>
      </c>
      <c r="T12" s="30" t="str">
        <f t="shared" si="7"/>
        <v/>
      </c>
      <c r="U12" s="30" t="str">
        <f t="shared" si="8"/>
        <v/>
      </c>
      <c r="W12" s="27"/>
      <c r="X12" s="28" t="str">
        <f t="shared" si="9"/>
        <v/>
      </c>
      <c r="Y12" s="29" t="str">
        <f>IF(W12="","",IF(W13="",CEILING(Y4*Y7,1),CEILING(Y4*Y7+(Y13*X13)/X12,1)))</f>
        <v/>
      </c>
      <c r="Z12" s="30" t="str">
        <f t="shared" si="21"/>
        <v/>
      </c>
      <c r="AA12" s="30" t="str">
        <f t="shared" si="10"/>
        <v/>
      </c>
      <c r="AB12" s="30" t="str">
        <f t="shared" si="11"/>
        <v/>
      </c>
      <c r="AD12" s="27"/>
      <c r="AE12" s="28" t="str">
        <f t="shared" si="12"/>
        <v/>
      </c>
      <c r="AF12" s="29" t="str">
        <f>IF(AD12="","",IF(AD13="",CEILING(AF4*AF7,1),CEILING(AF4*AF7+(AF13*AE13)/AE12,1)))</f>
        <v/>
      </c>
      <c r="AG12" s="30" t="str">
        <f t="shared" si="22"/>
        <v/>
      </c>
      <c r="AH12" s="30" t="str">
        <f t="shared" si="13"/>
        <v/>
      </c>
      <c r="AI12" s="30" t="str">
        <f t="shared" si="14"/>
        <v/>
      </c>
      <c r="AK12" s="27"/>
      <c r="AL12" s="28" t="str">
        <f t="shared" si="15"/>
        <v/>
      </c>
      <c r="AM12" s="29" t="str">
        <f>IF(AK12="","",IF(AK13="",CEILING(AM4*AM7,1),CEILING(AM4*AM7+(AM13*AL13)/AL12,1)))</f>
        <v/>
      </c>
      <c r="AN12" s="30" t="str">
        <f t="shared" si="23"/>
        <v/>
      </c>
      <c r="AO12" s="30" t="str">
        <f t="shared" si="16"/>
        <v/>
      </c>
      <c r="AP12" s="30" t="str">
        <f t="shared" si="17"/>
        <v/>
      </c>
    </row>
    <row r="13" spans="1:43" ht="14.25" customHeight="1" x14ac:dyDescent="0.35">
      <c r="B13" s="27"/>
      <c r="C13" s="28" t="str">
        <f t="shared" si="0"/>
        <v/>
      </c>
      <c r="D13" s="29" t="str">
        <f>IF(B13="","",IF(B14="",CEILING(D4*D7,1),CEILING(D4*D7+(D14*C14)/C13,1)))</f>
        <v/>
      </c>
      <c r="E13" s="30" t="str">
        <f t="shared" si="18"/>
        <v/>
      </c>
      <c r="F13" s="30" t="str">
        <f t="shared" si="1"/>
        <v/>
      </c>
      <c r="G13" s="30" t="str">
        <f t="shared" si="2"/>
        <v/>
      </c>
      <c r="I13" s="27"/>
      <c r="J13" s="28" t="str">
        <f t="shared" si="3"/>
        <v/>
      </c>
      <c r="K13" s="29" t="str">
        <f>IF(I13="","",IF(I14="",CEILING(K4*K7,1),CEILING(K4*K7+(K14*J14)/J13,1)))</f>
        <v/>
      </c>
      <c r="L13" s="30" t="str">
        <f t="shared" si="19"/>
        <v/>
      </c>
      <c r="M13" s="30" t="str">
        <f t="shared" si="4"/>
        <v/>
      </c>
      <c r="N13" s="30" t="str">
        <f t="shared" si="5"/>
        <v/>
      </c>
      <c r="P13" s="27"/>
      <c r="Q13" s="28" t="str">
        <f t="shared" si="6"/>
        <v/>
      </c>
      <c r="R13" s="29" t="str">
        <f>IF(P13="","",IF(P14="",CEILING(R4*R7,1),CEILING(R4*R7+(R14*Q14)/Q13,1)))</f>
        <v/>
      </c>
      <c r="S13" s="30" t="str">
        <f t="shared" si="20"/>
        <v/>
      </c>
      <c r="T13" s="30" t="str">
        <f t="shared" si="7"/>
        <v/>
      </c>
      <c r="U13" s="30" t="str">
        <f t="shared" si="8"/>
        <v/>
      </c>
      <c r="W13" s="27"/>
      <c r="X13" s="28" t="str">
        <f t="shared" si="9"/>
        <v/>
      </c>
      <c r="Y13" s="29" t="str">
        <f>IF(W13="","",IF(W14="",CEILING(Y4*Y7,1),CEILING(Y4*Y7+(Y14*X14)/X13,1)))</f>
        <v/>
      </c>
      <c r="Z13" s="30" t="str">
        <f t="shared" si="21"/>
        <v/>
      </c>
      <c r="AA13" s="30" t="str">
        <f t="shared" si="10"/>
        <v/>
      </c>
      <c r="AB13" s="30" t="str">
        <f t="shared" si="11"/>
        <v/>
      </c>
      <c r="AD13" s="27"/>
      <c r="AE13" s="28" t="str">
        <f t="shared" si="12"/>
        <v/>
      </c>
      <c r="AF13" s="29" t="str">
        <f>IF(AD13="","",IF(AD14="",CEILING(AF4*AF7,1),CEILING(AF4*AF7+(AF14*AE14)/AE13,1)))</f>
        <v/>
      </c>
      <c r="AG13" s="30" t="str">
        <f t="shared" si="22"/>
        <v/>
      </c>
      <c r="AH13" s="30" t="str">
        <f t="shared" si="13"/>
        <v/>
      </c>
      <c r="AI13" s="30" t="str">
        <f t="shared" si="14"/>
        <v/>
      </c>
      <c r="AK13" s="27"/>
      <c r="AL13" s="28" t="str">
        <f t="shared" si="15"/>
        <v/>
      </c>
      <c r="AM13" s="29" t="str">
        <f>IF(AK13="","",IF(AK14="",CEILING(AM4*AM7,1),CEILING(AM4*AM7+(AM14*AL14)/AL13,1)))</f>
        <v/>
      </c>
      <c r="AN13" s="30" t="str">
        <f t="shared" si="23"/>
        <v/>
      </c>
      <c r="AO13" s="30" t="str">
        <f t="shared" si="16"/>
        <v/>
      </c>
      <c r="AP13" s="30" t="str">
        <f t="shared" si="17"/>
        <v/>
      </c>
    </row>
    <row r="14" spans="1:43" ht="14.25" customHeight="1" x14ac:dyDescent="0.35">
      <c r="B14" s="27"/>
      <c r="C14" s="28" t="str">
        <f t="shared" si="0"/>
        <v/>
      </c>
      <c r="D14" s="29" t="str">
        <f>IF(B14="","",IF(B15="",CEILING(D4*D7,1),CEILING(D4*D7+(D15*C15)/C14,1)))</f>
        <v/>
      </c>
      <c r="E14" s="30" t="str">
        <f t="shared" si="18"/>
        <v/>
      </c>
      <c r="F14" s="30" t="str">
        <f t="shared" si="1"/>
        <v/>
      </c>
      <c r="G14" s="30" t="str">
        <f t="shared" si="2"/>
        <v/>
      </c>
      <c r="I14" s="27"/>
      <c r="J14" s="28" t="str">
        <f t="shared" si="3"/>
        <v/>
      </c>
      <c r="K14" s="29" t="str">
        <f>IF(I14="","",IF(I15="",CEILING(K4*K7,1),CEILING(K4*K7+(K15*J15)/J14,1)))</f>
        <v/>
      </c>
      <c r="L14" s="30" t="str">
        <f t="shared" si="19"/>
        <v/>
      </c>
      <c r="M14" s="30" t="str">
        <f t="shared" si="4"/>
        <v/>
      </c>
      <c r="N14" s="30" t="str">
        <f t="shared" si="5"/>
        <v/>
      </c>
      <c r="P14" s="27"/>
      <c r="Q14" s="28" t="str">
        <f t="shared" si="6"/>
        <v/>
      </c>
      <c r="R14" s="29" t="str">
        <f>IF(P14="","",IF(P15="",CEILING(R4*R7,1),CEILING(R4*R7+(R15*Q15)/Q14,1)))</f>
        <v/>
      </c>
      <c r="S14" s="30" t="str">
        <f t="shared" si="20"/>
        <v/>
      </c>
      <c r="T14" s="30" t="str">
        <f t="shared" si="7"/>
        <v/>
      </c>
      <c r="U14" s="30" t="str">
        <f t="shared" si="8"/>
        <v/>
      </c>
      <c r="W14" s="27"/>
      <c r="X14" s="28" t="str">
        <f t="shared" si="9"/>
        <v/>
      </c>
      <c r="Y14" s="29" t="str">
        <f>IF(W14="","",IF(W15="",CEILING(Y4*Y7,1),CEILING(Y4*Y7+(Y15*X15)/X14,1)))</f>
        <v/>
      </c>
      <c r="Z14" s="30" t="str">
        <f t="shared" si="21"/>
        <v/>
      </c>
      <c r="AA14" s="30" t="str">
        <f t="shared" si="10"/>
        <v/>
      </c>
      <c r="AB14" s="30" t="str">
        <f t="shared" si="11"/>
        <v/>
      </c>
      <c r="AD14" s="27"/>
      <c r="AE14" s="28" t="str">
        <f t="shared" si="12"/>
        <v/>
      </c>
      <c r="AF14" s="29" t="str">
        <f>IF(AD14="","",IF(AD15="",CEILING(AF4*AF7,1),CEILING(AF4*AF7+(AF15*AE15)/AE14,1)))</f>
        <v/>
      </c>
      <c r="AG14" s="30" t="str">
        <f t="shared" si="22"/>
        <v/>
      </c>
      <c r="AH14" s="30" t="str">
        <f t="shared" si="13"/>
        <v/>
      </c>
      <c r="AI14" s="30" t="str">
        <f t="shared" si="14"/>
        <v/>
      </c>
      <c r="AK14" s="27"/>
      <c r="AL14" s="28" t="str">
        <f t="shared" si="15"/>
        <v/>
      </c>
      <c r="AM14" s="29" t="str">
        <f>IF(AK14="","",IF(AK15="",CEILING(AM4*AM7,1),CEILING(AM4*AM7+(AM15*AL15)/AL14,1)))</f>
        <v/>
      </c>
      <c r="AN14" s="30" t="str">
        <f t="shared" si="23"/>
        <v/>
      </c>
      <c r="AO14" s="30" t="str">
        <f t="shared" si="16"/>
        <v/>
      </c>
      <c r="AP14" s="30" t="str">
        <f t="shared" si="17"/>
        <v/>
      </c>
    </row>
    <row r="15" spans="1:43" ht="14.25" customHeight="1" x14ac:dyDescent="0.35">
      <c r="B15" s="27"/>
      <c r="C15" s="28" t="str">
        <f t="shared" si="0"/>
        <v/>
      </c>
      <c r="D15" s="29" t="str">
        <f>IF(B15="","",IF(B16="",CEILING(D4*D7,1),CEILING(D4*D7+(D16*C16)/C15,1)))</f>
        <v/>
      </c>
      <c r="E15" s="30" t="str">
        <f t="shared" si="18"/>
        <v/>
      </c>
      <c r="F15" s="30" t="str">
        <f t="shared" si="1"/>
        <v/>
      </c>
      <c r="G15" s="30" t="str">
        <f t="shared" si="2"/>
        <v/>
      </c>
      <c r="I15" s="27"/>
      <c r="J15" s="28" t="str">
        <f t="shared" si="3"/>
        <v/>
      </c>
      <c r="K15" s="29" t="str">
        <f>IF(I15="","",IF(I16="",CEILING(K4*K7,1),CEILING(K4*K7+(K16*J16)/J15,1)))</f>
        <v/>
      </c>
      <c r="L15" s="30" t="str">
        <f t="shared" si="19"/>
        <v/>
      </c>
      <c r="M15" s="30" t="str">
        <f t="shared" si="4"/>
        <v/>
      </c>
      <c r="N15" s="30" t="str">
        <f t="shared" si="5"/>
        <v/>
      </c>
      <c r="P15" s="27"/>
      <c r="Q15" s="28" t="str">
        <f t="shared" si="6"/>
        <v/>
      </c>
      <c r="R15" s="29" t="str">
        <f>IF(P15="","",IF(P16="",CEILING(R4*R7,1),CEILING(R4*R7+(R16*Q16)/Q15,1)))</f>
        <v/>
      </c>
      <c r="S15" s="30" t="str">
        <f t="shared" si="20"/>
        <v/>
      </c>
      <c r="T15" s="30" t="str">
        <f t="shared" si="7"/>
        <v/>
      </c>
      <c r="U15" s="30" t="str">
        <f t="shared" si="8"/>
        <v/>
      </c>
      <c r="W15" s="27"/>
      <c r="X15" s="28" t="str">
        <f t="shared" si="9"/>
        <v/>
      </c>
      <c r="Y15" s="29" t="str">
        <f>IF(W15="","",IF(W16="",CEILING(Y4*Y7,1),CEILING(Y4*Y7+(Y16*X16)/X15,1)))</f>
        <v/>
      </c>
      <c r="Z15" s="30" t="str">
        <f t="shared" si="21"/>
        <v/>
      </c>
      <c r="AA15" s="30" t="str">
        <f t="shared" si="10"/>
        <v/>
      </c>
      <c r="AB15" s="30" t="str">
        <f t="shared" si="11"/>
        <v/>
      </c>
      <c r="AD15" s="27"/>
      <c r="AE15" s="28" t="str">
        <f t="shared" si="12"/>
        <v/>
      </c>
      <c r="AF15" s="29" t="str">
        <f>IF(AD15="","",IF(AD16="",CEILING(AF4*AF7,1),CEILING(AF4*AF7+(AF16*AE16)/AE15,1)))</f>
        <v/>
      </c>
      <c r="AG15" s="30" t="str">
        <f t="shared" si="22"/>
        <v/>
      </c>
      <c r="AH15" s="30" t="str">
        <f t="shared" si="13"/>
        <v/>
      </c>
      <c r="AI15" s="30" t="str">
        <f t="shared" si="14"/>
        <v/>
      </c>
      <c r="AK15" s="27"/>
      <c r="AL15" s="28" t="str">
        <f t="shared" si="15"/>
        <v/>
      </c>
      <c r="AM15" s="29" t="str">
        <f>IF(AK15="","",IF(AK16="",CEILING(AM4*AM7,1),CEILING(AM4*AM7+(AM16*AL16)/AL15,1)))</f>
        <v/>
      </c>
      <c r="AN15" s="30" t="str">
        <f t="shared" si="23"/>
        <v/>
      </c>
      <c r="AO15" s="30" t="str">
        <f t="shared" si="16"/>
        <v/>
      </c>
      <c r="AP15" s="30" t="str">
        <f t="shared" si="17"/>
        <v/>
      </c>
    </row>
    <row r="16" spans="1:43" ht="14.25" customHeight="1" x14ac:dyDescent="0.35">
      <c r="B16" s="27"/>
      <c r="C16" s="28" t="str">
        <f t="shared" si="0"/>
        <v/>
      </c>
      <c r="D16" s="29" t="str">
        <f>IF(B16="","",IF(B17="",CEILING(D4*D7,1),CEILING(D4*D7+(D17*C17)/C16,1)))</f>
        <v/>
      </c>
      <c r="E16" s="30" t="str">
        <f t="shared" si="18"/>
        <v/>
      </c>
      <c r="F16" s="30" t="str">
        <f t="shared" si="1"/>
        <v/>
      </c>
      <c r="G16" s="30" t="str">
        <f t="shared" si="2"/>
        <v/>
      </c>
      <c r="I16" s="27"/>
      <c r="J16" s="28" t="str">
        <f t="shared" si="3"/>
        <v/>
      </c>
      <c r="K16" s="29" t="str">
        <f>IF(I16="","",IF(I17="",CEILING(K4*K7,1),CEILING(K4*K7+(K17*J17)/J16,1)))</f>
        <v/>
      </c>
      <c r="L16" s="30" t="str">
        <f t="shared" si="19"/>
        <v/>
      </c>
      <c r="M16" s="30" t="str">
        <f t="shared" si="4"/>
        <v/>
      </c>
      <c r="N16" s="30" t="str">
        <f t="shared" si="5"/>
        <v/>
      </c>
      <c r="P16" s="27"/>
      <c r="Q16" s="28" t="str">
        <f t="shared" si="6"/>
        <v/>
      </c>
      <c r="R16" s="29" t="str">
        <f>IF(P16="","",IF(P17="",CEILING(R4*R7,1),CEILING(R4*R7+(R17*Q17)/Q16,1)))</f>
        <v/>
      </c>
      <c r="S16" s="30" t="str">
        <f t="shared" si="20"/>
        <v/>
      </c>
      <c r="T16" s="30" t="str">
        <f t="shared" si="7"/>
        <v/>
      </c>
      <c r="U16" s="30" t="str">
        <f t="shared" si="8"/>
        <v/>
      </c>
      <c r="W16" s="27"/>
      <c r="X16" s="28" t="str">
        <f t="shared" si="9"/>
        <v/>
      </c>
      <c r="Y16" s="29" t="str">
        <f>IF(W16="","",IF(W17="",CEILING(Y4*Y7,1),CEILING(Y4*Y7+(Y17*X17)/X16,1)))</f>
        <v/>
      </c>
      <c r="Z16" s="30" t="str">
        <f t="shared" si="21"/>
        <v/>
      </c>
      <c r="AA16" s="30" t="str">
        <f t="shared" si="10"/>
        <v/>
      </c>
      <c r="AB16" s="30" t="str">
        <f t="shared" si="11"/>
        <v/>
      </c>
      <c r="AD16" s="27"/>
      <c r="AE16" s="28" t="str">
        <f t="shared" si="12"/>
        <v/>
      </c>
      <c r="AF16" s="29" t="str">
        <f>IF(AD16="","",IF(AD17="",CEILING(AF4*AF7,1),CEILING(AF4*AF7+(AF17*AE17)/AE16,1)))</f>
        <v/>
      </c>
      <c r="AG16" s="30" t="str">
        <f t="shared" si="22"/>
        <v/>
      </c>
      <c r="AH16" s="30" t="str">
        <f t="shared" si="13"/>
        <v/>
      </c>
      <c r="AI16" s="30" t="str">
        <f t="shared" si="14"/>
        <v/>
      </c>
      <c r="AK16" s="27"/>
      <c r="AL16" s="28" t="str">
        <f t="shared" si="15"/>
        <v/>
      </c>
      <c r="AM16" s="29" t="str">
        <f>IF(AK16="","",IF(AK17="",CEILING(AM4*AM7,1),CEILING(AM4*AM7+(AM17*AL17)/AL16,1)))</f>
        <v/>
      </c>
      <c r="AN16" s="30" t="str">
        <f t="shared" si="23"/>
        <v/>
      </c>
      <c r="AO16" s="30" t="str">
        <f t="shared" si="16"/>
        <v/>
      </c>
      <c r="AP16" s="30" t="str">
        <f t="shared" si="17"/>
        <v/>
      </c>
    </row>
    <row r="17" spans="2:43" ht="14.25" customHeight="1" x14ac:dyDescent="0.35">
      <c r="B17" s="27"/>
      <c r="C17" s="28" t="str">
        <f t="shared" si="0"/>
        <v/>
      </c>
      <c r="D17" s="29" t="str">
        <f>IF(B17="","",IF(B18="",CEILING(D4*D7,1),CEILING(D4*D7+(D18*C18)/C17,1)))</f>
        <v/>
      </c>
      <c r="E17" s="30" t="str">
        <f t="shared" si="18"/>
        <v/>
      </c>
      <c r="F17" s="30" t="str">
        <f t="shared" si="1"/>
        <v/>
      </c>
      <c r="G17" s="30" t="str">
        <f t="shared" si="2"/>
        <v/>
      </c>
      <c r="I17" s="27"/>
      <c r="J17" s="28" t="str">
        <f t="shared" si="3"/>
        <v/>
      </c>
      <c r="K17" s="29" t="str">
        <f>IF(I17="","",IF(I18="",CEILING(K4*K7,1),CEILING(K4*K7+(K18*J18)/J17,1)))</f>
        <v/>
      </c>
      <c r="L17" s="30" t="str">
        <f t="shared" si="19"/>
        <v/>
      </c>
      <c r="M17" s="30" t="str">
        <f t="shared" si="4"/>
        <v/>
      </c>
      <c r="N17" s="30" t="str">
        <f t="shared" si="5"/>
        <v/>
      </c>
      <c r="P17" s="27"/>
      <c r="Q17" s="28" t="str">
        <f t="shared" si="6"/>
        <v/>
      </c>
      <c r="R17" s="29" t="str">
        <f>IF(P17="","",IF(P18="",CEILING(R4*R7,1),CEILING(R4*R7+(R18*Q18)/Q17,1)))</f>
        <v/>
      </c>
      <c r="S17" s="30" t="str">
        <f t="shared" si="20"/>
        <v/>
      </c>
      <c r="T17" s="30" t="str">
        <f t="shared" si="7"/>
        <v/>
      </c>
      <c r="U17" s="30" t="str">
        <f t="shared" si="8"/>
        <v/>
      </c>
      <c r="W17" s="27"/>
      <c r="X17" s="28" t="str">
        <f t="shared" si="9"/>
        <v/>
      </c>
      <c r="Y17" s="29" t="str">
        <f>IF(W17="","",IF(W18="",CEILING(Y4*Y7,1),CEILING(Y4*Y7+(Y18*X18)/X17,1)))</f>
        <v/>
      </c>
      <c r="Z17" s="30" t="str">
        <f t="shared" si="21"/>
        <v/>
      </c>
      <c r="AA17" s="30" t="str">
        <f t="shared" si="10"/>
        <v/>
      </c>
      <c r="AB17" s="30" t="str">
        <f t="shared" si="11"/>
        <v/>
      </c>
      <c r="AD17" s="27"/>
      <c r="AE17" s="28" t="str">
        <f t="shared" si="12"/>
        <v/>
      </c>
      <c r="AF17" s="29" t="str">
        <f>IF(AD17="","",IF(AD18="",CEILING(AF4*AF7,1),CEILING(AF4*AF7+(AF18*AE18)/AE17,1)))</f>
        <v/>
      </c>
      <c r="AG17" s="30" t="str">
        <f t="shared" si="22"/>
        <v/>
      </c>
      <c r="AH17" s="30" t="str">
        <f t="shared" si="13"/>
        <v/>
      </c>
      <c r="AI17" s="30" t="str">
        <f t="shared" si="14"/>
        <v/>
      </c>
      <c r="AK17" s="27"/>
      <c r="AL17" s="28" t="str">
        <f t="shared" si="15"/>
        <v/>
      </c>
      <c r="AM17" s="29" t="str">
        <f>IF(AK17="","",IF(AK18="",CEILING(AM4*AM7,1),CEILING(AM4*AM7+(AM18*AL18)/AL17,1)))</f>
        <v/>
      </c>
      <c r="AN17" s="30" t="str">
        <f t="shared" si="23"/>
        <v/>
      </c>
      <c r="AO17" s="30" t="str">
        <f t="shared" si="16"/>
        <v/>
      </c>
      <c r="AP17" s="30" t="str">
        <f t="shared" si="17"/>
        <v/>
      </c>
    </row>
    <row r="18" spans="2:43" ht="14.25" customHeight="1" x14ac:dyDescent="0.35">
      <c r="B18" s="27"/>
      <c r="C18" s="28" t="str">
        <f t="shared" si="0"/>
        <v/>
      </c>
      <c r="D18" s="29" t="str">
        <f>IF(B18="","",IF(B19="",CEILING(D4*D7,1),CEILING(D4*D7+(D19*C19)/C18,1)))</f>
        <v/>
      </c>
      <c r="E18" s="30" t="str">
        <f t="shared" si="18"/>
        <v/>
      </c>
      <c r="F18" s="30" t="str">
        <f t="shared" si="1"/>
        <v/>
      </c>
      <c r="G18" s="30" t="str">
        <f t="shared" si="2"/>
        <v/>
      </c>
      <c r="I18" s="27"/>
      <c r="J18" s="28" t="str">
        <f t="shared" si="3"/>
        <v/>
      </c>
      <c r="K18" s="29" t="str">
        <f>IF(I18="","",IF(I19="",CEILING(K4*K7,1),CEILING(K4*K7+(K19*J19)/J18,1)))</f>
        <v/>
      </c>
      <c r="L18" s="30" t="str">
        <f t="shared" si="19"/>
        <v/>
      </c>
      <c r="M18" s="30" t="str">
        <f t="shared" si="4"/>
        <v/>
      </c>
      <c r="N18" s="30" t="str">
        <f t="shared" si="5"/>
        <v/>
      </c>
      <c r="P18" s="27"/>
      <c r="Q18" s="28" t="str">
        <f t="shared" si="6"/>
        <v/>
      </c>
      <c r="R18" s="29" t="str">
        <f>IF(P18="","",IF(P19="",CEILING(R4*R7,1),CEILING(R4*R7+(R19*Q19)/Q18,1)))</f>
        <v/>
      </c>
      <c r="S18" s="30" t="str">
        <f t="shared" si="20"/>
        <v/>
      </c>
      <c r="T18" s="30" t="str">
        <f t="shared" si="7"/>
        <v/>
      </c>
      <c r="U18" s="30" t="str">
        <f t="shared" si="8"/>
        <v/>
      </c>
      <c r="W18" s="27"/>
      <c r="X18" s="28" t="str">
        <f t="shared" si="9"/>
        <v/>
      </c>
      <c r="Y18" s="29" t="str">
        <f>IF(W18="","",IF(W19="",CEILING(Y4*Y7,1),CEILING(Y4*Y7+(Y19*X19)/X18,1)))</f>
        <v/>
      </c>
      <c r="Z18" s="30" t="str">
        <f t="shared" si="21"/>
        <v/>
      </c>
      <c r="AA18" s="30" t="str">
        <f t="shared" si="10"/>
        <v/>
      </c>
      <c r="AB18" s="30" t="str">
        <f t="shared" si="11"/>
        <v/>
      </c>
      <c r="AD18" s="27"/>
      <c r="AE18" s="28" t="str">
        <f t="shared" si="12"/>
        <v/>
      </c>
      <c r="AF18" s="29" t="str">
        <f>IF(AD18="","",IF(AD19="",CEILING(AF4*AF7,1),CEILING(AF4*AF7+(AF19*AE19)/AE18,1)))</f>
        <v/>
      </c>
      <c r="AG18" s="30" t="str">
        <f t="shared" si="22"/>
        <v/>
      </c>
      <c r="AH18" s="30" t="str">
        <f t="shared" si="13"/>
        <v/>
      </c>
      <c r="AI18" s="30" t="str">
        <f t="shared" si="14"/>
        <v/>
      </c>
      <c r="AK18" s="27"/>
      <c r="AL18" s="28" t="str">
        <f t="shared" si="15"/>
        <v/>
      </c>
      <c r="AM18" s="29" t="str">
        <f>IF(AK18="","",IF(AK19="",CEILING(AM4*AM7,1),CEILING(AM4*AM7+(AM19*AL19)/AL18,1)))</f>
        <v/>
      </c>
      <c r="AN18" s="30" t="str">
        <f t="shared" si="23"/>
        <v/>
      </c>
      <c r="AO18" s="30" t="str">
        <f t="shared" si="16"/>
        <v/>
      </c>
      <c r="AP18" s="30" t="str">
        <f t="shared" si="17"/>
        <v/>
      </c>
    </row>
    <row r="19" spans="2:43" ht="14.25" customHeight="1" x14ac:dyDescent="0.35">
      <c r="B19" s="27"/>
      <c r="C19" s="28" t="str">
        <f t="shared" si="0"/>
        <v/>
      </c>
      <c r="D19" s="29" t="str">
        <f>IF(B19="","",IF(B20="",CEILING(D4*D7,1),CEILING(D4*D7+(D20*C20)/C19,1)))</f>
        <v/>
      </c>
      <c r="E19" s="30" t="str">
        <f t="shared" si="18"/>
        <v/>
      </c>
      <c r="F19" s="30" t="str">
        <f t="shared" si="1"/>
        <v/>
      </c>
      <c r="G19" s="30" t="str">
        <f t="shared" si="2"/>
        <v/>
      </c>
      <c r="I19" s="27"/>
      <c r="J19" s="28" t="str">
        <f t="shared" si="3"/>
        <v/>
      </c>
      <c r="K19" s="29" t="str">
        <f>IF(I19="","",IF(I20="",CEILING(K4*K7,1),CEILING(K4*K7+(K20*J20)/J19,1)))</f>
        <v/>
      </c>
      <c r="L19" s="30" t="str">
        <f t="shared" si="19"/>
        <v/>
      </c>
      <c r="M19" s="30" t="str">
        <f t="shared" si="4"/>
        <v/>
      </c>
      <c r="N19" s="30" t="str">
        <f t="shared" si="5"/>
        <v/>
      </c>
      <c r="P19" s="27"/>
      <c r="Q19" s="28" t="str">
        <f t="shared" si="6"/>
        <v/>
      </c>
      <c r="R19" s="29" t="str">
        <f>IF(P19="","",IF(P20="",CEILING(R4*R7,1),CEILING(R4*R7+(R20*Q20)/Q19,1)))</f>
        <v/>
      </c>
      <c r="S19" s="30" t="str">
        <f t="shared" si="20"/>
        <v/>
      </c>
      <c r="T19" s="30" t="str">
        <f t="shared" si="7"/>
        <v/>
      </c>
      <c r="U19" s="30" t="str">
        <f t="shared" si="8"/>
        <v/>
      </c>
      <c r="W19" s="27"/>
      <c r="X19" s="28" t="str">
        <f t="shared" si="9"/>
        <v/>
      </c>
      <c r="Y19" s="29" t="str">
        <f>IF(W19="","",IF(W20="",CEILING(Y4*Y7,1),CEILING(Y4*Y7+(Y20*X20)/X19,1)))</f>
        <v/>
      </c>
      <c r="Z19" s="30" t="str">
        <f t="shared" si="21"/>
        <v/>
      </c>
      <c r="AA19" s="30" t="str">
        <f t="shared" si="10"/>
        <v/>
      </c>
      <c r="AB19" s="30" t="str">
        <f t="shared" si="11"/>
        <v/>
      </c>
      <c r="AD19" s="27"/>
      <c r="AE19" s="28" t="str">
        <f t="shared" si="12"/>
        <v/>
      </c>
      <c r="AF19" s="29" t="str">
        <f>IF(AD19="","",IF(AD20="",CEILING(AF4*AF7,1),CEILING(AF4*AF7+(AF20*AE20)/AE19,1)))</f>
        <v/>
      </c>
      <c r="AG19" s="30" t="str">
        <f t="shared" si="22"/>
        <v/>
      </c>
      <c r="AH19" s="30" t="str">
        <f t="shared" si="13"/>
        <v/>
      </c>
      <c r="AI19" s="30" t="str">
        <f t="shared" si="14"/>
        <v/>
      </c>
      <c r="AK19" s="27"/>
      <c r="AL19" s="28" t="str">
        <f t="shared" si="15"/>
        <v/>
      </c>
      <c r="AM19" s="29" t="str">
        <f>IF(AK19="","",IF(AK20="",CEILING(AM4*AM7,1),CEILING(AM4*AM7+(AM20*AL20)/AL19,1)))</f>
        <v/>
      </c>
      <c r="AN19" s="30" t="str">
        <f t="shared" si="23"/>
        <v/>
      </c>
      <c r="AO19" s="30" t="str">
        <f t="shared" si="16"/>
        <v/>
      </c>
      <c r="AP19" s="30" t="str">
        <f t="shared" si="17"/>
        <v/>
      </c>
    </row>
    <row r="20" spans="2:43" ht="14.25" customHeight="1" x14ac:dyDescent="0.35">
      <c r="B20" s="27"/>
      <c r="C20" s="28" t="str">
        <f t="shared" si="0"/>
        <v/>
      </c>
      <c r="D20" s="29" t="str">
        <f>IF(B20="","",IF(B21="",CEILING(D4*D7,1),CEILING(D4*D7+(D21*C21)/C20,1)))</f>
        <v/>
      </c>
      <c r="E20" s="30" t="str">
        <f t="shared" si="18"/>
        <v/>
      </c>
      <c r="F20" s="30" t="str">
        <f t="shared" si="1"/>
        <v/>
      </c>
      <c r="G20" s="30" t="str">
        <f t="shared" si="2"/>
        <v/>
      </c>
      <c r="I20" s="27"/>
      <c r="J20" s="28" t="str">
        <f t="shared" si="3"/>
        <v/>
      </c>
      <c r="K20" s="29" t="str">
        <f>IF(I20="","",IF(I21="",CEILING(K4*K7,1),CEILING(K4*K7+(K21*J21)/J20,1)))</f>
        <v/>
      </c>
      <c r="L20" s="30" t="str">
        <f t="shared" si="19"/>
        <v/>
      </c>
      <c r="M20" s="30" t="str">
        <f t="shared" si="4"/>
        <v/>
      </c>
      <c r="N20" s="30" t="str">
        <f t="shared" si="5"/>
        <v/>
      </c>
      <c r="P20" s="27"/>
      <c r="Q20" s="28" t="str">
        <f t="shared" si="6"/>
        <v/>
      </c>
      <c r="R20" s="29" t="str">
        <f>IF(P20="","",IF(P21="",CEILING(R4*R7,1),CEILING(R4*R7+(R21*Q21)/Q20,1)))</f>
        <v/>
      </c>
      <c r="S20" s="30" t="str">
        <f t="shared" si="20"/>
        <v/>
      </c>
      <c r="T20" s="30" t="str">
        <f t="shared" si="7"/>
        <v/>
      </c>
      <c r="U20" s="30" t="str">
        <f t="shared" si="8"/>
        <v/>
      </c>
      <c r="W20" s="27"/>
      <c r="X20" s="28" t="str">
        <f t="shared" si="9"/>
        <v/>
      </c>
      <c r="Y20" s="29" t="str">
        <f>IF(W20="","",IF(W21="",CEILING(Y4*Y7,1),CEILING(Y4*Y7+(Y21*X21)/X20,1)))</f>
        <v/>
      </c>
      <c r="Z20" s="30" t="str">
        <f t="shared" si="21"/>
        <v/>
      </c>
      <c r="AA20" s="30" t="str">
        <f t="shared" si="10"/>
        <v/>
      </c>
      <c r="AB20" s="30" t="str">
        <f t="shared" si="11"/>
        <v/>
      </c>
      <c r="AD20" s="27"/>
      <c r="AE20" s="28" t="str">
        <f t="shared" si="12"/>
        <v/>
      </c>
      <c r="AF20" s="29" t="str">
        <f>IF(AD20="","",IF(AD21="",CEILING(AF4*AF7,1),CEILING(AF4*AF7+(AF21*AE21)/AE20,1)))</f>
        <v/>
      </c>
      <c r="AG20" s="30" t="str">
        <f t="shared" si="22"/>
        <v/>
      </c>
      <c r="AH20" s="30" t="str">
        <f t="shared" si="13"/>
        <v/>
      </c>
      <c r="AI20" s="30" t="str">
        <f t="shared" si="14"/>
        <v/>
      </c>
      <c r="AK20" s="27"/>
      <c r="AL20" s="28" t="str">
        <f t="shared" si="15"/>
        <v/>
      </c>
      <c r="AM20" s="29" t="str">
        <f>IF(AK20="","",IF(AK21="",CEILING(AM4*AM7,1),CEILING(AM4*AM7+(AM21*AL21)/AL20,1)))</f>
        <v/>
      </c>
      <c r="AN20" s="30" t="str">
        <f t="shared" si="23"/>
        <v/>
      </c>
      <c r="AO20" s="30" t="str">
        <f t="shared" si="16"/>
        <v/>
      </c>
      <c r="AP20" s="30" t="str">
        <f t="shared" si="17"/>
        <v/>
      </c>
    </row>
    <row r="21" spans="2:43" ht="15.75" customHeight="1" x14ac:dyDescent="0.35">
      <c r="B21" s="27"/>
      <c r="C21" s="28" t="str">
        <f t="shared" si="0"/>
        <v/>
      </c>
      <c r="D21" s="29" t="str">
        <f>IF(B21="","",CEILING(D4*D7,1))</f>
        <v/>
      </c>
      <c r="E21" s="30" t="str">
        <f t="shared" si="18"/>
        <v/>
      </c>
      <c r="F21" s="30" t="str">
        <f t="shared" si="1"/>
        <v/>
      </c>
      <c r="G21" s="29" t="str">
        <f>IF(B21="","",D21)</f>
        <v/>
      </c>
      <c r="I21" s="27"/>
      <c r="J21" s="28" t="str">
        <f t="shared" si="3"/>
        <v/>
      </c>
      <c r="K21" s="29" t="str">
        <f>IF(I21="","",CEILING(K4*K7,1))</f>
        <v/>
      </c>
      <c r="L21" s="30" t="str">
        <f t="shared" si="19"/>
        <v/>
      </c>
      <c r="M21" s="30" t="str">
        <f t="shared" si="4"/>
        <v/>
      </c>
      <c r="N21" s="29" t="str">
        <f>IF(I21="","",K21)</f>
        <v/>
      </c>
      <c r="P21" s="27"/>
      <c r="Q21" s="28" t="str">
        <f t="shared" si="6"/>
        <v/>
      </c>
      <c r="R21" s="29" t="str">
        <f>IF(P21="","",CEILING(R4*R7,1))</f>
        <v/>
      </c>
      <c r="S21" s="30" t="str">
        <f t="shared" si="20"/>
        <v/>
      </c>
      <c r="T21" s="30" t="str">
        <f t="shared" si="7"/>
        <v/>
      </c>
      <c r="U21" s="29" t="str">
        <f>IF(P21="","",R21)</f>
        <v/>
      </c>
      <c r="W21" s="27"/>
      <c r="X21" s="28" t="str">
        <f t="shared" si="9"/>
        <v/>
      </c>
      <c r="Y21" s="29" t="str">
        <f>IF(W21="","",CEILING(Y4*Y7,1))</f>
        <v/>
      </c>
      <c r="Z21" s="30" t="str">
        <f t="shared" si="21"/>
        <v/>
      </c>
      <c r="AA21" s="30" t="str">
        <f t="shared" si="10"/>
        <v/>
      </c>
      <c r="AB21" s="29" t="str">
        <f>IF(W21="","",Y21)</f>
        <v/>
      </c>
      <c r="AD21" s="27"/>
      <c r="AE21" s="28" t="str">
        <f t="shared" si="12"/>
        <v/>
      </c>
      <c r="AF21" s="29" t="str">
        <f>IF(AD21="","",CEILING(AF4*AF7,1))</f>
        <v/>
      </c>
      <c r="AG21" s="30" t="str">
        <f t="shared" si="22"/>
        <v/>
      </c>
      <c r="AH21" s="30" t="str">
        <f t="shared" si="13"/>
        <v/>
      </c>
      <c r="AI21" s="29" t="str">
        <f>IF(AD21="","",AF21)</f>
        <v/>
      </c>
      <c r="AK21" s="27"/>
      <c r="AL21" s="28" t="str">
        <f t="shared" si="15"/>
        <v/>
      </c>
      <c r="AM21" s="29" t="str">
        <f>IF(AK21="","",CEILING(AM4*AM7,1))</f>
        <v/>
      </c>
      <c r="AN21" s="30" t="str">
        <f t="shared" si="23"/>
        <v/>
      </c>
      <c r="AO21" s="30" t="str">
        <f t="shared" si="16"/>
        <v/>
      </c>
      <c r="AP21" s="29" t="str">
        <f>IF(AK21="","",AM21)</f>
        <v/>
      </c>
    </row>
    <row r="22" spans="2:43" ht="15.75" customHeight="1" x14ac:dyDescent="0.35">
      <c r="B22" s="99" t="s">
        <v>83</v>
      </c>
      <c r="C22" s="99"/>
      <c r="D22" s="99"/>
      <c r="E22" s="99"/>
      <c r="F22" s="31">
        <f>IF(COUNTA(B10:B21)=0,"",SUMPRODUCT(IF(ISNUMBER(F10:F21),F10:F21,0)))</f>
        <v>0</v>
      </c>
      <c r="I22" s="99" t="s">
        <v>83</v>
      </c>
      <c r="J22" s="99"/>
      <c r="K22" s="99"/>
      <c r="L22" s="99"/>
      <c r="M22" s="31">
        <f>IF(COUNTA(I10:I21)=0,"",SUMPRODUCT(IF(ISNUMBER(M10:M21),M10:M21,0)))</f>
        <v>0</v>
      </c>
      <c r="P22" s="99" t="s">
        <v>83</v>
      </c>
      <c r="Q22" s="99"/>
      <c r="R22" s="99"/>
      <c r="S22" s="99"/>
      <c r="T22" s="31">
        <f>IF(COUNTA(P10:P21)=0,"",SUMPRODUCT(IF(ISNUMBER(T10:T21),T10:T21,0)))</f>
        <v>0</v>
      </c>
      <c r="W22" s="99" t="s">
        <v>83</v>
      </c>
      <c r="X22" s="99"/>
      <c r="Y22" s="99"/>
      <c r="Z22" s="99"/>
      <c r="AA22" s="31" t="str">
        <f>IF(COUNTA(W10:W21)=0,"",SUMPRODUCT(IF(ISNUMBER(AA10:AA21),AA10:AA21,0)))</f>
        <v/>
      </c>
      <c r="AD22" s="99" t="s">
        <v>83</v>
      </c>
      <c r="AE22" s="99"/>
      <c r="AF22" s="99"/>
      <c r="AG22" s="99"/>
      <c r="AH22" s="31" t="str">
        <f>IF(COUNTA(AD10:AD21)=0,"",SUMPRODUCT(IF(ISNUMBER(AH10:AH21),AH10:AH21,0)))</f>
        <v/>
      </c>
      <c r="AK22" s="99" t="s">
        <v>83</v>
      </c>
      <c r="AL22" s="99"/>
      <c r="AM22" s="99"/>
      <c r="AN22" s="99"/>
      <c r="AO22" s="31" t="str">
        <f>IF(COUNTA(AK10:AK21)=0,"",SUMPRODUCT(IF(ISNUMBER(AO10:AO21),AO10:AO21,0)))</f>
        <v/>
      </c>
    </row>
    <row r="23" spans="2:43" ht="15.75" customHeight="1" x14ac:dyDescent="0.35">
      <c r="B23" s="99" t="s">
        <v>84</v>
      </c>
      <c r="C23" s="99"/>
      <c r="D23" s="99"/>
      <c r="E23" s="99"/>
      <c r="F23" s="31">
        <f>IF(E10="","",E10)</f>
        <v>20</v>
      </c>
      <c r="I23" s="99" t="s">
        <v>84</v>
      </c>
      <c r="J23" s="99"/>
      <c r="K23" s="99"/>
      <c r="L23" s="99"/>
      <c r="M23" s="31">
        <f>IF(L10="","",L10)</f>
        <v>60.399034408040357</v>
      </c>
      <c r="P23" s="99" t="s">
        <v>84</v>
      </c>
      <c r="Q23" s="99"/>
      <c r="R23" s="99"/>
      <c r="S23" s="99"/>
      <c r="T23" s="31">
        <f>IF(S10="","",S10)</f>
        <v>0.73333333333333328</v>
      </c>
      <c r="W23" s="99" t="s">
        <v>84</v>
      </c>
      <c r="X23" s="99"/>
      <c r="Y23" s="99"/>
      <c r="Z23" s="99"/>
      <c r="AA23" s="31" t="str">
        <f>IF(Z10="","",Z10)</f>
        <v/>
      </c>
      <c r="AD23" s="99" t="s">
        <v>84</v>
      </c>
      <c r="AE23" s="99"/>
      <c r="AF23" s="99"/>
      <c r="AG23" s="99"/>
      <c r="AH23" s="31" t="str">
        <f>IF(AG10="","",AG10)</f>
        <v/>
      </c>
      <c r="AK23" s="99" t="s">
        <v>84</v>
      </c>
      <c r="AL23" s="99"/>
      <c r="AM23" s="99"/>
      <c r="AN23" s="99"/>
      <c r="AO23" s="31" t="str">
        <f>IF(AN10="","",AN10)</f>
        <v/>
      </c>
    </row>
    <row r="24" spans="2:43" ht="15.75" customHeight="1" x14ac:dyDescent="0.35"/>
    <row r="25" spans="2:43" ht="15.75" customHeight="1" x14ac:dyDescent="0.35"/>
    <row r="26" spans="2:43" ht="15.75" customHeight="1" x14ac:dyDescent="0.35">
      <c r="B26" s="98" t="s">
        <v>85</v>
      </c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98"/>
      <c r="AQ26" s="98"/>
    </row>
    <row r="27" spans="2:43" ht="15.75" customHeight="1" x14ac:dyDescent="0.35">
      <c r="B27" s="23" t="s">
        <v>119</v>
      </c>
      <c r="C27" s="103" t="s">
        <v>120</v>
      </c>
      <c r="D27" s="103"/>
      <c r="E27" s="103"/>
      <c r="F27" s="103"/>
      <c r="G27" s="103"/>
    </row>
    <row r="28" spans="2:43" ht="15.75" customHeight="1" x14ac:dyDescent="0.35"/>
    <row r="29" spans="2:43" ht="15.75" customHeight="1" x14ac:dyDescent="0.35"/>
    <row r="30" spans="2:43" ht="15.75" customHeight="1" x14ac:dyDescent="0.35"/>
    <row r="31" spans="2:43" ht="15.75" customHeight="1" x14ac:dyDescent="0.35"/>
    <row r="32" spans="2:4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54">
    <mergeCell ref="C27:G27"/>
    <mergeCell ref="AK23:AN23"/>
    <mergeCell ref="B26:AQ26"/>
    <mergeCell ref="B23:E23"/>
    <mergeCell ref="I23:L23"/>
    <mergeCell ref="P23:S23"/>
    <mergeCell ref="W23:Z23"/>
    <mergeCell ref="AD23:AG23"/>
    <mergeCell ref="AK8:AP8"/>
    <mergeCell ref="B22:E22"/>
    <mergeCell ref="I22:L22"/>
    <mergeCell ref="P22:S22"/>
    <mergeCell ref="W22:Z22"/>
    <mergeCell ref="AD22:AG22"/>
    <mergeCell ref="AK22:AN22"/>
    <mergeCell ref="B8:G8"/>
    <mergeCell ref="I8:N8"/>
    <mergeCell ref="P8:U8"/>
    <mergeCell ref="W8:AB8"/>
    <mergeCell ref="AD8:AI8"/>
    <mergeCell ref="AM6:AN6"/>
    <mergeCell ref="D7:E7"/>
    <mergeCell ref="K7:L7"/>
    <mergeCell ref="R7:S7"/>
    <mergeCell ref="Y7:Z7"/>
    <mergeCell ref="AF7:AG7"/>
    <mergeCell ref="AM7:AN7"/>
    <mergeCell ref="D6:E6"/>
    <mergeCell ref="K6:L6"/>
    <mergeCell ref="R6:S6"/>
    <mergeCell ref="Y6:Z6"/>
    <mergeCell ref="AF6:AG6"/>
    <mergeCell ref="AM4:AN4"/>
    <mergeCell ref="D5:E5"/>
    <mergeCell ref="K5:L5"/>
    <mergeCell ref="R5:S5"/>
    <mergeCell ref="Y5:Z5"/>
    <mergeCell ref="AF5:AG5"/>
    <mergeCell ref="AM5:AN5"/>
    <mergeCell ref="D4:E4"/>
    <mergeCell ref="K4:L4"/>
    <mergeCell ref="R4:S4"/>
    <mergeCell ref="Y4:Z4"/>
    <mergeCell ref="AF4:AG4"/>
    <mergeCell ref="A1:AQ1"/>
    <mergeCell ref="B3:G3"/>
    <mergeCell ref="I3:N3"/>
    <mergeCell ref="P3:U3"/>
    <mergeCell ref="W3:AB3"/>
    <mergeCell ref="AD3:AI3"/>
    <mergeCell ref="AK3:AP3"/>
    <mergeCell ref="C2:F2"/>
    <mergeCell ref="J2:M2"/>
    <mergeCell ref="Q2:T2"/>
  </mergeCells>
  <pageMargins left="0.75" right="0.75" top="1" bottom="1" header="0.511811023622047" footer="0.511811023622047"/>
  <pageSetup paperSize="9" scale="3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Setup</vt:lpstr>
      <vt:lpstr>PEI Mix</vt:lpstr>
      <vt:lpstr>DNA Mixes</vt:lpstr>
      <vt:lpstr>Plate Layout</vt:lpstr>
      <vt:lpstr>Dilutions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Sergi Bravo</cp:lastModifiedBy>
  <cp:revision>0</cp:revision>
  <cp:lastPrinted>2026-08-19T11:13:55Z</cp:lastPrinted>
  <dcterms:created xsi:type="dcterms:W3CDTF">2026-04-07T10:22:34Z</dcterms:created>
  <dcterms:modified xsi:type="dcterms:W3CDTF">2026-08-21T06:50:32Z</dcterms:modified>
  <dc:language>en-US</dc:language>
</cp:coreProperties>
</file>