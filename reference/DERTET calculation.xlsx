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/Desktop/"/>
    </mc:Choice>
  </mc:AlternateContent>
  <xr:revisionPtr revIDLastSave="0" documentId="8_{EDAA76CA-9844-474D-995A-6C7C6A4E362F}" xr6:coauthVersionLast="47" xr6:coauthVersionMax="47" xr10:uidLastSave="{00000000-0000-0000-0000-000000000000}"/>
  <bookViews>
    <workbookView xWindow="8280" yWindow="1160" windowWidth="27640" windowHeight="16100" activeTab="1" xr2:uid="{33CF15B8-A676-9A44-A889-564940144D11}"/>
  </bookViews>
  <sheets>
    <sheet name="Sheet1" sheetId="1" r:id="rId1"/>
    <sheet name="Reagents" sheetId="2" r:id="rId2"/>
  </sheets>
  <externalReferences>
    <externalReference r:id="rId3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4" i="2" l="1"/>
  <c r="E55" i="2" s="1"/>
  <c r="E46" i="2"/>
  <c r="E45" i="2"/>
  <c r="E10" i="2" s="1"/>
  <c r="E11" i="2" s="1"/>
  <c r="E12" i="2" s="1"/>
  <c r="E13" i="2" s="1"/>
  <c r="E44" i="2"/>
  <c r="E43" i="2"/>
  <c r="E37" i="2"/>
  <c r="E28" i="2"/>
  <c r="E29" i="2" s="1"/>
  <c r="E27" i="2"/>
  <c r="E9" i="2"/>
  <c r="E19" i="2" s="1"/>
  <c r="E31" i="2" l="1"/>
  <c r="E30" i="2"/>
  <c r="E36" i="2" s="1"/>
  <c r="E20" i="2"/>
  <c r="E21" i="2" s="1"/>
  <c r="E47" i="2"/>
  <c r="E48" i="2" s="1"/>
  <c r="E38" i="2" l="1"/>
  <c r="E39" i="2" s="1"/>
</calcChain>
</file>

<file path=xl/sharedStrings.xml><?xml version="1.0" encoding="utf-8"?>
<sst xmlns="http://schemas.openxmlformats.org/spreadsheetml/2006/main" count="49" uniqueCount="44">
  <si>
    <t>ASSAY REAGENT PREP</t>
  </si>
  <si>
    <t>Blue cells are inputs. Grey cells calculate automatically. Green cells pull from the Compounds tab. Set 'Working volume to prepare' once, then Tb / fluorescein sections follow from it.</t>
  </si>
  <si>
    <t>1 · DONOR / MASTER MIX</t>
  </si>
  <si>
    <t>Number of wells</t>
  </si>
  <si>
    <t>Volume per well (µl)</t>
  </si>
  <si>
    <t>Extra margin (×)</t>
  </si>
  <si>
    <t>Vehicle / buffer-only channel (µl)</t>
  </si>
  <si>
    <t>Total assay volume (µl)</t>
  </si>
  <si>
    <t>Buffer for compounds (µl)</t>
  </si>
  <si>
    <t>Grand total (µl)</t>
  </si>
  <si>
    <t>With margin (µl)</t>
  </si>
  <si>
    <t>Suggested prep volume (round up 100)</t>
  </si>
  <si>
    <t>Working volume to prepare (µl)</t>
  </si>
  <si>
    <t>2 · TERBIUM (Tb) DONOR</t>
  </si>
  <si>
    <t>Tb dilution  (1 : X)</t>
  </si>
  <si>
    <t>Extra headroom (µl)</t>
  </si>
  <si>
    <t>Working volume (µl)</t>
  </si>
  <si>
    <t>Tb stock needed (µl)</t>
  </si>
  <si>
    <t>Diluent — into (µl)</t>
  </si>
  <si>
    <t>3 · FLUORESCEIN WORKING SOLUTION</t>
  </si>
  <si>
    <t>Target working conc (µM)</t>
  </si>
  <si>
    <t>Source stock conc (µM)</t>
  </si>
  <si>
    <t>BSA 5% to add (µl)</t>
  </si>
  <si>
    <t>Volume to prepare (µl)</t>
  </si>
  <si>
    <t>Fold dilution (source ÷ target)</t>
  </si>
  <si>
    <t>Vol of source stock (µl)</t>
  </si>
  <si>
    <t>Prep a little extra (µl)</t>
  </si>
  <si>
    <t>4 · FLUORESCEIN STOCK (make the source)</t>
  </si>
  <si>
    <t>Target conc (µM)</t>
  </si>
  <si>
    <t>Source conc (µM)</t>
  </si>
  <si>
    <t>5 · DMSO VEHICLE MATCHING  (auto — from Compounds)</t>
  </si>
  <si>
    <t>Pulls the matched target and buffer totals from the Compounds tab. Prepare two diluents from the fluorescein working solution: 'Normal buffer' (no DMSO) and 'DMSO buffer' (fluorescein buffer + pure DMSO at the target %). Terbium is added before labelling and washed out, so it is never matched.</t>
  </si>
  <si>
    <t>Effective target — working DMSO (%)</t>
  </si>
  <si>
    <t>→ In-well DMSO (%)</t>
  </si>
  <si>
    <t>Total NORMAL buffer, compounds (µl)</t>
  </si>
  <si>
    <t>Total DMSO-buffer needed (µl)</t>
  </si>
  <si>
    <t xml:space="preserve">    → pure DMSO to add (µl)</t>
  </si>
  <si>
    <t xml:space="preserve">    → fluorescein buffer (µl)</t>
  </si>
  <si>
    <t>DMSO-buffer recipe = (fluorescein buffer E48) + (pure DMSO E47). The vehicle/buffer-only channel (§1) is treated as DMSO-buffer. Rule of thumb: the first tube of the single highest-DMSO compound uses Normal buffer; every other tube uses DMSO buffer (the sheet computes the exact split per tube).</t>
  </si>
  <si>
    <t>6 · WATER / % v-v ADDITIVE</t>
  </si>
  <si>
    <t>Total volume (µl)</t>
  </si>
  <si>
    <t>Additive fraction (% v/v)</t>
  </si>
  <si>
    <t>Additive volume (µl)</t>
  </si>
  <si>
    <t>Into (µl)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</si>
</sst>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%"/>
    <numFmt numFmtId="166" formatCode="0.0%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color rgb="FF404040"/>
      <name val="Arial"/>
      <family val="2"/>
    </font>
    <font>
      <sz val="10"/>
      <color rgb="FF0000CC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sz val="9"/>
      <color rgb="FF808080"/>
      <name val="Arial"/>
      <family val="2"/>
    </font>
    <font>
      <b/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F6B6B"/>
        <bgColor rgb="FF2E75B6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CCFFFF"/>
      </patternFill>
    </fill>
  </fills>
  <borders count="4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/>
    <xf numFmtId="0" fontId="3" fillId="0" borderId="0" xfId="1" applyFont="1" applyAlignment="1">
      <alignment horizontal="left" vertical="center"/>
    </xf>
    <xf numFmtId="0" fontId="4" fillId="3" borderId="0" xfId="1" applyFont="1" applyFill="1" applyAlignment="1">
      <alignment horizontal="center" vertical="center"/>
    </xf>
    <xf numFmtId="0" fontId="5" fillId="0" borderId="0" xfId="1" applyFont="1" applyAlignment="1">
      <alignment horizontal="right" vertical="center"/>
    </xf>
    <xf numFmtId="1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" fontId="7" fillId="5" borderId="2" xfId="1" applyNumberFormat="1" applyFont="1" applyFill="1" applyBorder="1" applyAlignment="1">
      <alignment horizontal="center" vertical="center"/>
    </xf>
    <xf numFmtId="164" fontId="8" fillId="5" borderId="2" xfId="1" applyNumberFormat="1" applyFont="1" applyFill="1" applyBorder="1" applyAlignment="1">
      <alignment horizontal="center" vertical="center"/>
    </xf>
    <xf numFmtId="164" fontId="9" fillId="5" borderId="2" xfId="1" applyNumberFormat="1" applyFont="1" applyFill="1" applyBorder="1" applyAlignment="1">
      <alignment horizontal="center" vertical="center"/>
    </xf>
    <xf numFmtId="164" fontId="7" fillId="5" borderId="2" xfId="1" applyNumberFormat="1" applyFont="1" applyFill="1" applyBorder="1" applyAlignment="1">
      <alignment horizontal="center" vertical="center"/>
    </xf>
    <xf numFmtId="1" fontId="9" fillId="5" borderId="2" xfId="1" applyNumberFormat="1" applyFont="1" applyFill="1" applyBorder="1" applyAlignment="1">
      <alignment horizontal="center" vertical="center"/>
    </xf>
    <xf numFmtId="1" fontId="8" fillId="5" borderId="2" xfId="1" applyNumberFormat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165" fontId="11" fillId="5" borderId="3" xfId="1" applyNumberFormat="1" applyFont="1" applyFill="1" applyBorder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165" fontId="8" fillId="5" borderId="3" xfId="1" applyNumberFormat="1" applyFont="1" applyFill="1" applyBorder="1" applyAlignment="1">
      <alignment horizontal="center" vertical="center"/>
    </xf>
    <xf numFmtId="164" fontId="8" fillId="5" borderId="3" xfId="1" applyNumberFormat="1" applyFont="1" applyFill="1" applyBorder="1" applyAlignment="1">
      <alignment horizontal="center" vertical="center"/>
    </xf>
    <xf numFmtId="164" fontId="11" fillId="5" borderId="3" xfId="1" applyNumberFormat="1" applyFont="1" applyFill="1" applyBorder="1" applyAlignment="1">
      <alignment horizontal="center" vertical="center"/>
    </xf>
    <xf numFmtId="2" fontId="7" fillId="5" borderId="3" xfId="1" applyNumberFormat="1" applyFont="1" applyFill="1" applyBorder="1" applyAlignment="1">
      <alignment horizontal="center" vertical="center"/>
    </xf>
    <xf numFmtId="164" fontId="7" fillId="5" borderId="3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right" vertical="center"/>
    </xf>
    <xf numFmtId="1" fontId="6" fillId="4" borderId="3" xfId="1" applyNumberFormat="1" applyFont="1" applyFill="1" applyBorder="1" applyAlignment="1">
      <alignment horizontal="center" vertical="center"/>
    </xf>
    <xf numFmtId="166" fontId="6" fillId="4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9D024E95-01B5-EA48-B077-23A0AB3AF8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Volumes/agkostenis/SBravo/Projects/Angiotensin/Experiments/Signaling-itnernalisation%20decoupling/ADRB2%20-%20Nebivolol%20-%20Alprenolol/DERET/260804_black-plat_nebi-alpre/260804_DERET_fluorescein-cmpd-dilution_template_v2.xlsx" TargetMode="External"/><Relationship Id="rId2" Type="http://schemas.openxmlformats.org/officeDocument/2006/relationships/externalLinkPath" Target="/Volumes/agkostenis/SBravo/Projects/Angiotensin/Experiments/Signaling-itnernalisation%20decoupling/ADRB2%20-%20Nebivolol%20-%20Alprenolol/DERET/260804_black-plat_nebi-alpre/260804_DERET_fluorescein-cmpd-dilution_template_v2.xlsx" TargetMode="External"/><Relationship Id="rId1" Type="http://schemas.openxmlformats.org/officeDocument/2006/relationships/externalLinkPath" Target="/Volumes/agkostenis/SBravo/Projects/Angiotensin/Experiments/Signaling-itnernalisation%20decoupling/ADRB2%20-%20Nebivolol%20-%20Alprenolol/DERET/260804_black-plat_nebi-alpre/260804_DERET_fluorescein-cmpd-dilution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ounds"/>
      <sheetName val="Reagents"/>
      <sheetName val="Plate Layout"/>
    </sheetNames>
    <sheetDataSet>
      <sheetData sheetId="0">
        <row r="6">
          <cell r="E6">
            <v>2E-3</v>
          </cell>
        </row>
        <row r="7">
          <cell r="E7">
            <v>1E-3</v>
          </cell>
        </row>
        <row r="30">
          <cell r="F30">
            <v>0</v>
          </cell>
          <cell r="N30">
            <v>249.5</v>
          </cell>
          <cell r="V30">
            <v>249.5</v>
          </cell>
          <cell r="AD30">
            <v>0</v>
          </cell>
          <cell r="AL30" t="str">
            <v/>
          </cell>
          <cell r="AT30" t="str">
            <v/>
          </cell>
        </row>
        <row r="31">
          <cell r="G31">
            <v>249.5</v>
          </cell>
          <cell r="O31">
            <v>0</v>
          </cell>
          <cell r="W31">
            <v>0</v>
          </cell>
          <cell r="AE31">
            <v>249.5</v>
          </cell>
          <cell r="AM31" t="str">
            <v/>
          </cell>
          <cell r="AU31" t="str">
            <v/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339F-60A6-AE4F-8F40-B0D1283F22D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2CF6-377D-9E49-B8F7-8781C277BB56}">
  <sheetPr>
    <tabColor rgb="FF2F6B6B"/>
    <pageSetUpPr fitToPage="1"/>
  </sheetPr>
  <dimension ref="B1:I55"/>
  <sheetViews>
    <sheetView showGridLines="0" tabSelected="1" topLeftCell="A10" zoomScale="145" zoomScaleNormal="145" workbookViewId="0">
      <selection activeCell="H24" sqref="H24"/>
    </sheetView>
  </sheetViews>
  <sheetFormatPr baseColWidth="10" defaultColWidth="8.6640625" defaultRowHeight="15" x14ac:dyDescent="0.2"/>
  <cols>
    <col min="1" max="1" width="3.1640625" style="2" customWidth="1"/>
    <col min="2" max="2" width="20.83203125" style="2" customWidth="1"/>
    <col min="3" max="4" width="8" style="2" customWidth="1"/>
    <col min="5" max="5" width="12" style="2" customWidth="1"/>
    <col min="6" max="7" width="9" style="2" customWidth="1"/>
    <col min="8" max="8" width="11" style="2" customWidth="1"/>
    <col min="9" max="9" width="9" style="2" customWidth="1"/>
    <col min="10" max="16384" width="8.6640625" style="2"/>
  </cols>
  <sheetData>
    <row r="1" spans="2:6" ht="27.75" customHeight="1" x14ac:dyDescent="0.2">
      <c r="B1" s="1" t="s">
        <v>0</v>
      </c>
      <c r="C1" s="1"/>
      <c r="D1" s="1"/>
      <c r="E1" s="1"/>
      <c r="F1" s="1"/>
    </row>
    <row r="2" spans="2:6" ht="27.75" customHeight="1" x14ac:dyDescent="0.2">
      <c r="B2" s="3" t="s">
        <v>1</v>
      </c>
      <c r="C2" s="3"/>
      <c r="D2" s="3"/>
      <c r="E2" s="3"/>
      <c r="F2" s="3"/>
    </row>
    <row r="4" spans="2:6" ht="15" customHeight="1" x14ac:dyDescent="0.2">
      <c r="B4" s="4" t="s">
        <v>2</v>
      </c>
      <c r="C4" s="4"/>
      <c r="D4" s="4"/>
      <c r="E4" s="4"/>
      <c r="F4" s="4"/>
    </row>
    <row r="5" spans="2:6" ht="15" customHeight="1" x14ac:dyDescent="0.2">
      <c r="B5" s="5" t="s">
        <v>3</v>
      </c>
      <c r="C5" s="5"/>
      <c r="D5" s="5"/>
      <c r="E5" s="6">
        <v>16</v>
      </c>
    </row>
    <row r="6" spans="2:6" ht="15" customHeight="1" x14ac:dyDescent="0.2">
      <c r="B6" s="5" t="s">
        <v>4</v>
      </c>
      <c r="C6" s="5"/>
      <c r="D6" s="5"/>
      <c r="E6" s="6">
        <v>50</v>
      </c>
    </row>
    <row r="7" spans="2:6" ht="15" customHeight="1" x14ac:dyDescent="0.2">
      <c r="B7" s="5" t="s">
        <v>5</v>
      </c>
      <c r="C7" s="5"/>
      <c r="D7" s="5"/>
      <c r="E7" s="7">
        <v>1.2</v>
      </c>
    </row>
    <row r="8" spans="2:6" ht="15" customHeight="1" x14ac:dyDescent="0.2">
      <c r="B8" s="5" t="s">
        <v>6</v>
      </c>
      <c r="C8" s="5"/>
      <c r="D8" s="5"/>
      <c r="E8" s="6">
        <v>300</v>
      </c>
    </row>
    <row r="9" spans="2:6" ht="15" customHeight="1" x14ac:dyDescent="0.2">
      <c r="B9" s="5" t="s">
        <v>7</v>
      </c>
      <c r="C9" s="5"/>
      <c r="D9" s="5"/>
      <c r="E9" s="8">
        <f>E5*E6</f>
        <v>800</v>
      </c>
    </row>
    <row r="10" spans="2:6" ht="15" customHeight="1" x14ac:dyDescent="0.2">
      <c r="B10" s="5" t="s">
        <v>8</v>
      </c>
      <c r="C10" s="5"/>
      <c r="D10" s="5"/>
      <c r="E10" s="9">
        <f>E45+E46</f>
        <v>1298</v>
      </c>
    </row>
    <row r="11" spans="2:6" ht="15" customHeight="1" x14ac:dyDescent="0.2">
      <c r="B11" s="5" t="s">
        <v>9</v>
      </c>
      <c r="C11" s="5"/>
      <c r="D11" s="5"/>
      <c r="E11" s="10">
        <f>E9+E10</f>
        <v>2098</v>
      </c>
    </row>
    <row r="12" spans="2:6" ht="15" customHeight="1" x14ac:dyDescent="0.2">
      <c r="B12" s="5" t="s">
        <v>10</v>
      </c>
      <c r="C12" s="5"/>
      <c r="D12" s="5"/>
      <c r="E12" s="11">
        <f>E11*E7</f>
        <v>2517.6</v>
      </c>
    </row>
    <row r="13" spans="2:6" ht="15" customHeight="1" x14ac:dyDescent="0.2">
      <c r="B13" s="5" t="s">
        <v>11</v>
      </c>
      <c r="C13" s="5"/>
      <c r="D13" s="5"/>
      <c r="E13" s="12">
        <f>CEILING(E12,100)</f>
        <v>2600</v>
      </c>
    </row>
    <row r="14" spans="2:6" ht="15" customHeight="1" x14ac:dyDescent="0.2">
      <c r="B14" s="5" t="s">
        <v>12</v>
      </c>
      <c r="C14" s="5"/>
      <c r="D14" s="5"/>
      <c r="E14" s="6">
        <v>2200</v>
      </c>
    </row>
    <row r="16" spans="2:6" ht="15" customHeight="1" x14ac:dyDescent="0.2">
      <c r="B16" s="4" t="s">
        <v>13</v>
      </c>
      <c r="C16" s="4"/>
      <c r="D16" s="4"/>
      <c r="E16" s="4"/>
      <c r="F16" s="4"/>
    </row>
    <row r="17" spans="2:6" ht="15" customHeight="1" x14ac:dyDescent="0.2">
      <c r="B17" s="5" t="s">
        <v>14</v>
      </c>
      <c r="C17" s="5"/>
      <c r="D17" s="5"/>
      <c r="E17" s="6">
        <v>1000</v>
      </c>
    </row>
    <row r="18" spans="2:6" ht="15" customHeight="1" x14ac:dyDescent="0.2">
      <c r="B18" s="5" t="s">
        <v>15</v>
      </c>
      <c r="C18" s="5"/>
      <c r="D18" s="5"/>
      <c r="E18" s="6">
        <v>100</v>
      </c>
    </row>
    <row r="19" spans="2:6" ht="15" customHeight="1" x14ac:dyDescent="0.2">
      <c r="B19" s="5" t="s">
        <v>16</v>
      </c>
      <c r="C19" s="5"/>
      <c r="D19" s="5"/>
      <c r="E19" s="8">
        <f>E9+E18</f>
        <v>900</v>
      </c>
    </row>
    <row r="20" spans="2:6" ht="15" customHeight="1" x14ac:dyDescent="0.2">
      <c r="B20" s="5" t="s">
        <v>17</v>
      </c>
      <c r="C20" s="5"/>
      <c r="D20" s="5"/>
      <c r="E20" s="10">
        <f>E19/E17</f>
        <v>0.9</v>
      </c>
    </row>
    <row r="21" spans="2:6" ht="15" customHeight="1" x14ac:dyDescent="0.2">
      <c r="B21" s="5" t="s">
        <v>18</v>
      </c>
      <c r="C21" s="5"/>
      <c r="D21" s="5"/>
      <c r="E21" s="11">
        <f>E19-E20</f>
        <v>899.1</v>
      </c>
    </row>
    <row r="23" spans="2:6" ht="15" customHeight="1" x14ac:dyDescent="0.2">
      <c r="B23" s="4" t="s">
        <v>19</v>
      </c>
      <c r="C23" s="4"/>
      <c r="D23" s="4"/>
      <c r="E23" s="4"/>
      <c r="F23" s="4"/>
    </row>
    <row r="24" spans="2:6" ht="15" customHeight="1" x14ac:dyDescent="0.2">
      <c r="B24" s="5" t="s">
        <v>20</v>
      </c>
      <c r="C24" s="5"/>
      <c r="D24" s="5"/>
      <c r="E24" s="6">
        <v>50</v>
      </c>
    </row>
    <row r="25" spans="2:6" ht="15" customHeight="1" x14ac:dyDescent="0.2">
      <c r="B25" s="5" t="s">
        <v>21</v>
      </c>
      <c r="C25" s="5"/>
      <c r="D25" s="5"/>
      <c r="E25" s="6">
        <v>1000</v>
      </c>
    </row>
    <row r="26" spans="2:6" ht="15" customHeight="1" x14ac:dyDescent="0.2">
      <c r="B26" s="5" t="s">
        <v>22</v>
      </c>
      <c r="C26" s="5"/>
      <c r="D26" s="5"/>
      <c r="E26" s="6">
        <v>0</v>
      </c>
    </row>
    <row r="27" spans="2:6" ht="15" customHeight="1" x14ac:dyDescent="0.2">
      <c r="B27" s="5" t="s">
        <v>23</v>
      </c>
      <c r="C27" s="5"/>
      <c r="D27" s="5"/>
      <c r="E27" s="13">
        <f>E14</f>
        <v>2200</v>
      </c>
    </row>
    <row r="28" spans="2:6" ht="15" customHeight="1" x14ac:dyDescent="0.2">
      <c r="B28" s="5" t="s">
        <v>24</v>
      </c>
      <c r="C28" s="5"/>
      <c r="D28" s="5"/>
      <c r="E28" s="11">
        <f>E25/E24</f>
        <v>20</v>
      </c>
    </row>
    <row r="29" spans="2:6" ht="15" customHeight="1" x14ac:dyDescent="0.2">
      <c r="B29" s="5" t="s">
        <v>25</v>
      </c>
      <c r="C29" s="5"/>
      <c r="D29" s="5"/>
      <c r="E29" s="10">
        <f>E27/E28</f>
        <v>110</v>
      </c>
    </row>
    <row r="30" spans="2:6" ht="15" customHeight="1" x14ac:dyDescent="0.2">
      <c r="B30" s="5" t="s">
        <v>26</v>
      </c>
      <c r="C30" s="5"/>
      <c r="D30" s="5"/>
      <c r="E30" s="11">
        <f>E29+20</f>
        <v>130</v>
      </c>
    </row>
    <row r="31" spans="2:6" ht="15" customHeight="1" x14ac:dyDescent="0.2">
      <c r="B31" s="5" t="s">
        <v>18</v>
      </c>
      <c r="C31" s="5"/>
      <c r="D31" s="5"/>
      <c r="E31" s="11">
        <f>E27-E29-E26</f>
        <v>2090</v>
      </c>
    </row>
    <row r="33" spans="2:9" ht="15" customHeight="1" x14ac:dyDescent="0.2">
      <c r="B33" s="4" t="s">
        <v>27</v>
      </c>
      <c r="C33" s="4"/>
      <c r="D33" s="4"/>
      <c r="E33" s="4"/>
      <c r="F33" s="4"/>
    </row>
    <row r="34" spans="2:9" ht="15" customHeight="1" x14ac:dyDescent="0.2">
      <c r="B34" s="5" t="s">
        <v>28</v>
      </c>
      <c r="C34" s="5"/>
      <c r="D34" s="5"/>
      <c r="E34" s="6">
        <v>1000</v>
      </c>
    </row>
    <row r="35" spans="2:9" ht="15" customHeight="1" x14ac:dyDescent="0.2">
      <c r="B35" s="5" t="s">
        <v>29</v>
      </c>
      <c r="C35" s="5"/>
      <c r="D35" s="5"/>
      <c r="E35" s="6">
        <v>100000</v>
      </c>
    </row>
    <row r="36" spans="2:9" ht="15" customHeight="1" x14ac:dyDescent="0.2">
      <c r="B36" s="5" t="s">
        <v>23</v>
      </c>
      <c r="C36" s="5"/>
      <c r="D36" s="5"/>
      <c r="E36" s="9">
        <f>E30</f>
        <v>130</v>
      </c>
    </row>
    <row r="37" spans="2:9" ht="15" customHeight="1" x14ac:dyDescent="0.2">
      <c r="B37" s="5" t="s">
        <v>24</v>
      </c>
      <c r="C37" s="5"/>
      <c r="D37" s="5"/>
      <c r="E37" s="11">
        <f>E35/E34</f>
        <v>100</v>
      </c>
    </row>
    <row r="38" spans="2:9" ht="15" customHeight="1" x14ac:dyDescent="0.2">
      <c r="B38" s="5" t="s">
        <v>25</v>
      </c>
      <c r="C38" s="5"/>
      <c r="D38" s="5"/>
      <c r="E38" s="10">
        <f>E36/E37</f>
        <v>1.3</v>
      </c>
    </row>
    <row r="39" spans="2:9" ht="15" customHeight="1" x14ac:dyDescent="0.2">
      <c r="B39" s="5" t="s">
        <v>18</v>
      </c>
      <c r="C39" s="5"/>
      <c r="D39" s="5"/>
      <c r="E39" s="11">
        <f>E36-E38</f>
        <v>128.69999999999999</v>
      </c>
    </row>
    <row r="41" spans="2:9" ht="15" customHeight="1" x14ac:dyDescent="0.2">
      <c r="B41" s="4" t="s">
        <v>30</v>
      </c>
      <c r="C41" s="4"/>
      <c r="D41" s="4"/>
      <c r="E41" s="4"/>
      <c r="F41" s="4"/>
      <c r="G41" s="4"/>
      <c r="H41" s="4"/>
      <c r="I41" s="4"/>
    </row>
    <row r="42" spans="2:9" ht="51.5" customHeight="1" x14ac:dyDescent="0.2">
      <c r="B42" s="14" t="s">
        <v>31</v>
      </c>
      <c r="C42" s="14"/>
      <c r="D42" s="14"/>
      <c r="E42" s="14"/>
      <c r="F42" s="14"/>
      <c r="G42" s="14"/>
      <c r="H42" s="14"/>
      <c r="I42" s="14"/>
    </row>
    <row r="43" spans="2:9" ht="15" customHeight="1" x14ac:dyDescent="0.2">
      <c r="B43" s="5" t="s">
        <v>32</v>
      </c>
      <c r="C43" s="5"/>
      <c r="D43" s="5"/>
      <c r="E43" s="15">
        <f>[1]Compounds!E6</f>
        <v>2E-3</v>
      </c>
      <c r="F43" s="16"/>
      <c r="G43" s="17"/>
      <c r="H43" s="18"/>
      <c r="I43" s="19"/>
    </row>
    <row r="44" spans="2:9" ht="15" customHeight="1" x14ac:dyDescent="0.2">
      <c r="B44" s="5" t="s">
        <v>33</v>
      </c>
      <c r="C44" s="5"/>
      <c r="D44" s="5"/>
      <c r="E44" s="20">
        <f>[1]Compounds!E7</f>
        <v>1E-3</v>
      </c>
      <c r="F44" s="16"/>
      <c r="G44" s="17"/>
      <c r="H44" s="18"/>
      <c r="I44" s="19"/>
    </row>
    <row r="45" spans="2:9" ht="15" customHeight="1" x14ac:dyDescent="0.2">
      <c r="B45" s="5" t="s">
        <v>34</v>
      </c>
      <c r="C45" s="5"/>
      <c r="D45" s="5"/>
      <c r="E45" s="21">
        <f>IF([1]Compounds!F30="",0,[1]Compounds!F30)+IF([1]Compounds!N30="",0,[1]Compounds!N30)+IF([1]Compounds!V30="",0,[1]Compounds!V30)+IF([1]Compounds!AD30="",0,[1]Compounds!AD30)+IF([1]Compounds!AL30="",0,[1]Compounds!AL30)+IF([1]Compounds!AT30="",0,[1]Compounds!AT30)</f>
        <v>499</v>
      </c>
    </row>
    <row r="46" spans="2:9" x14ac:dyDescent="0.2">
      <c r="B46" s="5" t="s">
        <v>35</v>
      </c>
      <c r="C46" s="5"/>
      <c r="D46" s="5"/>
      <c r="E46" s="22">
        <f>IF([1]Compounds!G31="",0,[1]Compounds!G31)+IF([1]Compounds!O31="",0,[1]Compounds!O31)+IF([1]Compounds!W31="",0,[1]Compounds!W31)+IF([1]Compounds!AE31="",0,[1]Compounds!AE31)+IF([1]Compounds!AM31="",0,[1]Compounds!AM31)+IF([1]Compounds!AU31="",0,[1]Compounds!AU31)+E8</f>
        <v>799</v>
      </c>
    </row>
    <row r="47" spans="2:9" ht="15" customHeight="1" x14ac:dyDescent="0.2">
      <c r="B47" s="5" t="s">
        <v>36</v>
      </c>
      <c r="C47" s="5"/>
      <c r="D47" s="5"/>
      <c r="E47" s="23">
        <f>E46*E43</f>
        <v>1.5980000000000001</v>
      </c>
    </row>
    <row r="48" spans="2:9" ht="15" customHeight="1" x14ac:dyDescent="0.2">
      <c r="B48" s="5" t="s">
        <v>37</v>
      </c>
      <c r="C48" s="5"/>
      <c r="D48" s="5"/>
      <c r="E48" s="24">
        <f>E46-E47</f>
        <v>797.40200000000004</v>
      </c>
    </row>
    <row r="49" spans="2:9" ht="31.5" customHeight="1" x14ac:dyDescent="0.2">
      <c r="B49" s="14" t="s">
        <v>38</v>
      </c>
      <c r="C49" s="14"/>
      <c r="D49" s="14"/>
      <c r="E49" s="14"/>
      <c r="F49" s="14"/>
      <c r="G49" s="14"/>
      <c r="H49" s="14"/>
      <c r="I49" s="14"/>
    </row>
    <row r="50" spans="2:9" ht="15" customHeight="1" x14ac:dyDescent="0.2">
      <c r="B50" s="25"/>
      <c r="E50" s="18"/>
    </row>
    <row r="51" spans="2:9" ht="15" customHeight="1" x14ac:dyDescent="0.2">
      <c r="B51" s="4" t="s">
        <v>39</v>
      </c>
      <c r="C51" s="4"/>
      <c r="D51" s="4"/>
      <c r="E51" s="4"/>
      <c r="F51" s="4"/>
      <c r="G51" s="4"/>
      <c r="H51" s="4"/>
      <c r="I51" s="4"/>
    </row>
    <row r="52" spans="2:9" x14ac:dyDescent="0.2">
      <c r="B52" s="5" t="s">
        <v>40</v>
      </c>
      <c r="C52" s="5"/>
      <c r="D52" s="5"/>
      <c r="E52" s="26">
        <v>680</v>
      </c>
    </row>
    <row r="53" spans="2:9" x14ac:dyDescent="0.2">
      <c r="B53" s="5" t="s">
        <v>41</v>
      </c>
      <c r="C53" s="5"/>
      <c r="D53" s="5"/>
      <c r="E53" s="27">
        <v>0.02</v>
      </c>
    </row>
    <row r="54" spans="2:9" x14ac:dyDescent="0.2">
      <c r="B54" s="5" t="s">
        <v>42</v>
      </c>
      <c r="C54" s="5"/>
      <c r="D54" s="5"/>
      <c r="E54" s="24">
        <f>E52*E53</f>
        <v>13.6</v>
      </c>
    </row>
    <row r="55" spans="2:9" x14ac:dyDescent="0.2">
      <c r="B55" s="5" t="s">
        <v>43</v>
      </c>
      <c r="C55" s="5"/>
      <c r="D55" s="5"/>
      <c r="E55" s="24">
        <f>E52-E54</f>
        <v>666.4</v>
      </c>
    </row>
  </sheetData>
  <mergeCells count="49">
    <mergeCell ref="B55:D55"/>
    <mergeCell ref="B48:D48"/>
    <mergeCell ref="B49:I49"/>
    <mergeCell ref="B51:I51"/>
    <mergeCell ref="B52:D52"/>
    <mergeCell ref="B53:D53"/>
    <mergeCell ref="B54:D54"/>
    <mergeCell ref="B42:I42"/>
    <mergeCell ref="B43:D43"/>
    <mergeCell ref="B44:D44"/>
    <mergeCell ref="B45:D45"/>
    <mergeCell ref="B46:D46"/>
    <mergeCell ref="B47:D47"/>
    <mergeCell ref="B35:D35"/>
    <mergeCell ref="B36:D36"/>
    <mergeCell ref="B37:D37"/>
    <mergeCell ref="B38:D38"/>
    <mergeCell ref="B39:D39"/>
    <mergeCell ref="B41:I41"/>
    <mergeCell ref="B28:D28"/>
    <mergeCell ref="B29:D29"/>
    <mergeCell ref="B30:D30"/>
    <mergeCell ref="B31:D31"/>
    <mergeCell ref="B33:F33"/>
    <mergeCell ref="B34:D34"/>
    <mergeCell ref="B21:D21"/>
    <mergeCell ref="B23:F23"/>
    <mergeCell ref="B24:D24"/>
    <mergeCell ref="B25:D25"/>
    <mergeCell ref="B26:D26"/>
    <mergeCell ref="B27:D27"/>
    <mergeCell ref="B14:D14"/>
    <mergeCell ref="B16:F16"/>
    <mergeCell ref="B17:D17"/>
    <mergeCell ref="B18:D18"/>
    <mergeCell ref="B19:D19"/>
    <mergeCell ref="B20:D20"/>
    <mergeCell ref="B8:D8"/>
    <mergeCell ref="B9:D9"/>
    <mergeCell ref="B10:D10"/>
    <mergeCell ref="B11:D11"/>
    <mergeCell ref="B12:D12"/>
    <mergeCell ref="B13:D13"/>
    <mergeCell ref="B1:F1"/>
    <mergeCell ref="B2:F2"/>
    <mergeCell ref="B4:F4"/>
    <mergeCell ref="B5:D5"/>
    <mergeCell ref="B6:D6"/>
    <mergeCell ref="B7:D7"/>
  </mergeCells>
  <pageMargins left="0.75" right="0.75" top="1" bottom="1" header="0.511811023622047" footer="0.511811023622047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Bravo</dc:creator>
  <cp:lastModifiedBy>Sergi Bravo</cp:lastModifiedBy>
  <dcterms:created xsi:type="dcterms:W3CDTF">2026-09-22T06:07:40Z</dcterms:created>
  <dcterms:modified xsi:type="dcterms:W3CDTF">2026-09-22T06:08:14Z</dcterms:modified>
</cp:coreProperties>
</file>