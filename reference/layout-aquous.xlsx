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/Documents/"/>
    </mc:Choice>
  </mc:AlternateContent>
  <xr:revisionPtr revIDLastSave="0" documentId="8_{B1526E8B-E899-9A44-BCDE-E9764A026CE8}" xr6:coauthVersionLast="47" xr6:coauthVersionMax="47" xr10:uidLastSave="{00000000-0000-0000-0000-000000000000}"/>
  <bookViews>
    <workbookView xWindow="5420" yWindow="1160" windowWidth="27640" windowHeight="16080" activeTab="1" xr2:uid="{E7245A0B-9973-E345-8115-5770C407AE3B}"/>
  </bookViews>
  <sheets>
    <sheet name="Sheet1" sheetId="1" r:id="rId1"/>
    <sheet name="Compounds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2" l="1"/>
  <c r="D18" i="2"/>
  <c r="H18" i="2" s="1"/>
  <c r="K18" i="2"/>
  <c r="L18" i="2"/>
  <c r="M18" i="2" s="1"/>
  <c r="S18" i="2"/>
  <c r="T18" i="2"/>
  <c r="U18" i="2" s="1"/>
  <c r="X18" i="2"/>
  <c r="AA18" i="2"/>
  <c r="AB18" i="2"/>
  <c r="AC18" i="2"/>
  <c r="AC32" i="2" s="1"/>
  <c r="AD18" i="2"/>
  <c r="AE18" i="2"/>
  <c r="AF18" i="2"/>
  <c r="AI18" i="2"/>
  <c r="AJ18" i="2"/>
  <c r="AK18" i="2"/>
  <c r="AL18" i="2"/>
  <c r="AM18" i="2"/>
  <c r="AN18" i="2"/>
  <c r="AQ18" i="2"/>
  <c r="AR18" i="2"/>
  <c r="AS18" i="2"/>
  <c r="AT18" i="2"/>
  <c r="AU18" i="2"/>
  <c r="AV18" i="2"/>
  <c r="C19" i="2"/>
  <c r="D19" i="2"/>
  <c r="E19" i="2"/>
  <c r="F19" i="2"/>
  <c r="G19" i="2"/>
  <c r="H19" i="2"/>
  <c r="K19" i="2"/>
  <c r="L19" i="2"/>
  <c r="M19" i="2"/>
  <c r="N19" i="2"/>
  <c r="O19" i="2"/>
  <c r="P19" i="2"/>
  <c r="S19" i="2"/>
  <c r="T19" i="2"/>
  <c r="U19" i="2"/>
  <c r="V19" i="2"/>
  <c r="W19" i="2"/>
  <c r="X19" i="2"/>
  <c r="AA19" i="2"/>
  <c r="AB19" i="2"/>
  <c r="AC19" i="2"/>
  <c r="AD19" i="2"/>
  <c r="AE19" i="2"/>
  <c r="AF19" i="2"/>
  <c r="AI19" i="2"/>
  <c r="AJ19" i="2"/>
  <c r="AK19" i="2"/>
  <c r="AL19" i="2"/>
  <c r="AM19" i="2"/>
  <c r="AN19" i="2"/>
  <c r="AQ19" i="2"/>
  <c r="AR19" i="2"/>
  <c r="AS19" i="2"/>
  <c r="AT19" i="2"/>
  <c r="AU19" i="2"/>
  <c r="AV19" i="2"/>
  <c r="C20" i="2"/>
  <c r="D20" i="2"/>
  <c r="E20" i="2"/>
  <c r="F20" i="2"/>
  <c r="G20" i="2"/>
  <c r="H20" i="2"/>
  <c r="K20" i="2"/>
  <c r="L20" i="2"/>
  <c r="M20" i="2"/>
  <c r="N20" i="2"/>
  <c r="O20" i="2"/>
  <c r="P20" i="2"/>
  <c r="S20" i="2"/>
  <c r="T20" i="2"/>
  <c r="U20" i="2"/>
  <c r="V20" i="2"/>
  <c r="W20" i="2"/>
  <c r="X20" i="2"/>
  <c r="AA20" i="2"/>
  <c r="AB20" i="2"/>
  <c r="AC20" i="2"/>
  <c r="AD20" i="2"/>
  <c r="AE20" i="2"/>
  <c r="AF20" i="2"/>
  <c r="AI20" i="2"/>
  <c r="AJ20" i="2"/>
  <c r="AK20" i="2"/>
  <c r="AL20" i="2"/>
  <c r="AM20" i="2"/>
  <c r="AN20" i="2"/>
  <c r="AQ20" i="2"/>
  <c r="AR20" i="2"/>
  <c r="AS20" i="2"/>
  <c r="AT20" i="2"/>
  <c r="AU20" i="2"/>
  <c r="AV20" i="2"/>
  <c r="C21" i="2"/>
  <c r="D21" i="2"/>
  <c r="E21" i="2"/>
  <c r="F21" i="2"/>
  <c r="G21" i="2"/>
  <c r="H21" i="2"/>
  <c r="K21" i="2"/>
  <c r="L21" i="2"/>
  <c r="M21" i="2"/>
  <c r="N21" i="2"/>
  <c r="O21" i="2"/>
  <c r="P21" i="2"/>
  <c r="S21" i="2"/>
  <c r="T21" i="2"/>
  <c r="U21" i="2"/>
  <c r="V21" i="2"/>
  <c r="W21" i="2"/>
  <c r="X21" i="2"/>
  <c r="AA21" i="2"/>
  <c r="AB21" i="2"/>
  <c r="AC21" i="2"/>
  <c r="AD21" i="2"/>
  <c r="AE21" i="2"/>
  <c r="AF21" i="2"/>
  <c r="AI21" i="2"/>
  <c r="AJ21" i="2"/>
  <c r="AK21" i="2"/>
  <c r="AL21" i="2"/>
  <c r="AM21" i="2"/>
  <c r="AN21" i="2"/>
  <c r="AQ21" i="2"/>
  <c r="AR21" i="2"/>
  <c r="AS21" i="2"/>
  <c r="AT21" i="2"/>
  <c r="AU21" i="2"/>
  <c r="AV21" i="2"/>
  <c r="C22" i="2"/>
  <c r="D22" i="2"/>
  <c r="E22" i="2"/>
  <c r="F22" i="2"/>
  <c r="G22" i="2"/>
  <c r="H22" i="2"/>
  <c r="K22" i="2"/>
  <c r="L22" i="2"/>
  <c r="M22" i="2"/>
  <c r="N22" i="2"/>
  <c r="O22" i="2"/>
  <c r="P22" i="2"/>
  <c r="S22" i="2"/>
  <c r="T22" i="2"/>
  <c r="U22" i="2"/>
  <c r="V22" i="2"/>
  <c r="W22" i="2"/>
  <c r="X22" i="2"/>
  <c r="AA22" i="2"/>
  <c r="AB22" i="2"/>
  <c r="AC22" i="2"/>
  <c r="AD22" i="2"/>
  <c r="AE22" i="2"/>
  <c r="AF22" i="2"/>
  <c r="AI22" i="2"/>
  <c r="AJ22" i="2"/>
  <c r="AK22" i="2"/>
  <c r="AL22" i="2"/>
  <c r="AM22" i="2"/>
  <c r="AN22" i="2"/>
  <c r="AQ22" i="2"/>
  <c r="AR22" i="2"/>
  <c r="AS22" i="2"/>
  <c r="AT22" i="2"/>
  <c r="AU22" i="2"/>
  <c r="AV22" i="2"/>
  <c r="C23" i="2"/>
  <c r="D23" i="2"/>
  <c r="E23" i="2"/>
  <c r="F23" i="2"/>
  <c r="G23" i="2"/>
  <c r="H23" i="2"/>
  <c r="K23" i="2"/>
  <c r="L23" i="2"/>
  <c r="M23" i="2"/>
  <c r="N23" i="2"/>
  <c r="O23" i="2"/>
  <c r="P23" i="2"/>
  <c r="S23" i="2"/>
  <c r="T23" i="2"/>
  <c r="U23" i="2"/>
  <c r="V23" i="2"/>
  <c r="W23" i="2"/>
  <c r="X23" i="2"/>
  <c r="AA23" i="2"/>
  <c r="AB23" i="2"/>
  <c r="AC23" i="2"/>
  <c r="AD23" i="2"/>
  <c r="AE23" i="2"/>
  <c r="AF23" i="2"/>
  <c r="AI23" i="2"/>
  <c r="AJ23" i="2"/>
  <c r="AK23" i="2"/>
  <c r="AL23" i="2"/>
  <c r="AM23" i="2"/>
  <c r="AN23" i="2"/>
  <c r="AQ23" i="2"/>
  <c r="AR23" i="2"/>
  <c r="AS23" i="2"/>
  <c r="AT23" i="2"/>
  <c r="AU23" i="2"/>
  <c r="AV23" i="2"/>
  <c r="C24" i="2"/>
  <c r="D24" i="2"/>
  <c r="E24" i="2"/>
  <c r="F24" i="2"/>
  <c r="G24" i="2"/>
  <c r="H24" i="2"/>
  <c r="K24" i="2"/>
  <c r="L24" i="2"/>
  <c r="M24" i="2"/>
  <c r="N24" i="2"/>
  <c r="O24" i="2"/>
  <c r="P24" i="2"/>
  <c r="S24" i="2"/>
  <c r="T24" i="2"/>
  <c r="U24" i="2"/>
  <c r="V24" i="2"/>
  <c r="W24" i="2"/>
  <c r="X24" i="2"/>
  <c r="AA24" i="2"/>
  <c r="AB24" i="2"/>
  <c r="AC24" i="2"/>
  <c r="AD24" i="2"/>
  <c r="AE24" i="2"/>
  <c r="AF24" i="2"/>
  <c r="AI24" i="2"/>
  <c r="AJ24" i="2"/>
  <c r="AK24" i="2"/>
  <c r="AL24" i="2"/>
  <c r="AM24" i="2"/>
  <c r="AN24" i="2"/>
  <c r="AQ24" i="2"/>
  <c r="AR24" i="2"/>
  <c r="AS24" i="2"/>
  <c r="AT24" i="2"/>
  <c r="AU24" i="2"/>
  <c r="AV24" i="2"/>
  <c r="C25" i="2"/>
  <c r="D25" i="2"/>
  <c r="E25" i="2"/>
  <c r="F25" i="2"/>
  <c r="G25" i="2"/>
  <c r="H25" i="2"/>
  <c r="K25" i="2"/>
  <c r="L25" i="2"/>
  <c r="M25" i="2"/>
  <c r="N25" i="2"/>
  <c r="O25" i="2"/>
  <c r="P25" i="2"/>
  <c r="S25" i="2"/>
  <c r="T25" i="2"/>
  <c r="U25" i="2"/>
  <c r="V25" i="2"/>
  <c r="W25" i="2"/>
  <c r="X25" i="2"/>
  <c r="AA25" i="2"/>
  <c r="AB25" i="2"/>
  <c r="AC25" i="2"/>
  <c r="AD25" i="2"/>
  <c r="AE25" i="2"/>
  <c r="AF25" i="2"/>
  <c r="AI25" i="2"/>
  <c r="AJ25" i="2"/>
  <c r="AK25" i="2"/>
  <c r="AL25" i="2"/>
  <c r="AM25" i="2"/>
  <c r="AN25" i="2"/>
  <c r="AQ25" i="2"/>
  <c r="AR25" i="2"/>
  <c r="AS25" i="2"/>
  <c r="AT25" i="2"/>
  <c r="AU25" i="2"/>
  <c r="AV25" i="2"/>
  <c r="C26" i="2"/>
  <c r="D26" i="2"/>
  <c r="E26" i="2"/>
  <c r="F26" i="2"/>
  <c r="G26" i="2"/>
  <c r="H26" i="2"/>
  <c r="K26" i="2"/>
  <c r="L26" i="2"/>
  <c r="M26" i="2"/>
  <c r="N26" i="2"/>
  <c r="O26" i="2"/>
  <c r="P26" i="2"/>
  <c r="S26" i="2"/>
  <c r="T26" i="2"/>
  <c r="U26" i="2"/>
  <c r="V26" i="2"/>
  <c r="W26" i="2"/>
  <c r="X26" i="2"/>
  <c r="AA26" i="2"/>
  <c r="AB26" i="2"/>
  <c r="AC26" i="2"/>
  <c r="AD26" i="2"/>
  <c r="AE26" i="2"/>
  <c r="AF26" i="2"/>
  <c r="AI26" i="2"/>
  <c r="AJ26" i="2"/>
  <c r="AK26" i="2"/>
  <c r="AL26" i="2"/>
  <c r="AM26" i="2"/>
  <c r="AN26" i="2"/>
  <c r="AQ26" i="2"/>
  <c r="AR26" i="2"/>
  <c r="AS26" i="2"/>
  <c r="AT26" i="2"/>
  <c r="AU26" i="2"/>
  <c r="AV26" i="2"/>
  <c r="C27" i="2"/>
  <c r="D27" i="2"/>
  <c r="E27" i="2"/>
  <c r="F27" i="2"/>
  <c r="G27" i="2"/>
  <c r="H27" i="2"/>
  <c r="K27" i="2"/>
  <c r="L27" i="2"/>
  <c r="M27" i="2"/>
  <c r="N27" i="2"/>
  <c r="O27" i="2"/>
  <c r="P27" i="2"/>
  <c r="S27" i="2"/>
  <c r="T27" i="2"/>
  <c r="U27" i="2"/>
  <c r="V27" i="2"/>
  <c r="W27" i="2"/>
  <c r="X27" i="2"/>
  <c r="AA27" i="2"/>
  <c r="AB27" i="2"/>
  <c r="AC27" i="2"/>
  <c r="AD27" i="2"/>
  <c r="AE27" i="2"/>
  <c r="AF27" i="2"/>
  <c r="AI27" i="2"/>
  <c r="AJ27" i="2"/>
  <c r="AK27" i="2"/>
  <c r="AL27" i="2"/>
  <c r="AM27" i="2"/>
  <c r="AN27" i="2"/>
  <c r="AQ27" i="2"/>
  <c r="AR27" i="2"/>
  <c r="AS27" i="2"/>
  <c r="AT27" i="2"/>
  <c r="AU27" i="2"/>
  <c r="AV27" i="2"/>
  <c r="C28" i="2"/>
  <c r="D28" i="2"/>
  <c r="E28" i="2"/>
  <c r="F28" i="2"/>
  <c r="G28" i="2"/>
  <c r="H28" i="2"/>
  <c r="K28" i="2"/>
  <c r="L28" i="2"/>
  <c r="M28" i="2"/>
  <c r="N28" i="2"/>
  <c r="O28" i="2"/>
  <c r="P28" i="2"/>
  <c r="S28" i="2"/>
  <c r="T28" i="2"/>
  <c r="U28" i="2"/>
  <c r="V28" i="2"/>
  <c r="W28" i="2"/>
  <c r="X28" i="2"/>
  <c r="AA28" i="2"/>
  <c r="AB28" i="2"/>
  <c r="AC28" i="2"/>
  <c r="AD28" i="2"/>
  <c r="AE28" i="2"/>
  <c r="AF28" i="2"/>
  <c r="AI28" i="2"/>
  <c r="AJ28" i="2"/>
  <c r="AK28" i="2"/>
  <c r="AL28" i="2"/>
  <c r="AM28" i="2"/>
  <c r="AN28" i="2"/>
  <c r="AQ28" i="2"/>
  <c r="AR28" i="2"/>
  <c r="AS28" i="2"/>
  <c r="AT28" i="2"/>
  <c r="AU28" i="2"/>
  <c r="AV28" i="2"/>
  <c r="C29" i="2"/>
  <c r="D29" i="2"/>
  <c r="E29" i="2"/>
  <c r="F29" i="2"/>
  <c r="G29" i="2"/>
  <c r="H29" i="2"/>
  <c r="K29" i="2"/>
  <c r="L29" i="2"/>
  <c r="M29" i="2"/>
  <c r="N29" i="2"/>
  <c r="O29" i="2"/>
  <c r="P29" i="2"/>
  <c r="S29" i="2"/>
  <c r="T29" i="2"/>
  <c r="U29" i="2"/>
  <c r="V29" i="2"/>
  <c r="W29" i="2"/>
  <c r="X29" i="2"/>
  <c r="AA29" i="2"/>
  <c r="AB29" i="2"/>
  <c r="AC29" i="2"/>
  <c r="AD29" i="2"/>
  <c r="AE29" i="2"/>
  <c r="AF29" i="2"/>
  <c r="AI29" i="2"/>
  <c r="AJ29" i="2"/>
  <c r="AK29" i="2"/>
  <c r="AL29" i="2"/>
  <c r="AM29" i="2"/>
  <c r="AN29" i="2"/>
  <c r="AQ29" i="2"/>
  <c r="AR29" i="2"/>
  <c r="AS29" i="2"/>
  <c r="AT29" i="2"/>
  <c r="AU29" i="2"/>
  <c r="AV29" i="2"/>
  <c r="AD30" i="2"/>
  <c r="AL30" i="2"/>
  <c r="AT30" i="2"/>
  <c r="AE31" i="2"/>
  <c r="AM31" i="2"/>
  <c r="AU31" i="2"/>
  <c r="AK32" i="2"/>
  <c r="AS32" i="2"/>
  <c r="U32" i="2" l="1"/>
  <c r="E4" i="2"/>
  <c r="E6" i="2" s="1"/>
  <c r="M32" i="2"/>
  <c r="P18" i="2"/>
  <c r="E18" i="2"/>
  <c r="W18" i="2" l="1"/>
  <c r="E7" i="2"/>
  <c r="O18" i="2"/>
  <c r="G18" i="2"/>
  <c r="G31" i="2" s="1"/>
  <c r="E32" i="2"/>
  <c r="F18" i="2"/>
  <c r="F30" i="2" s="1"/>
  <c r="O31" i="2" l="1"/>
  <c r="N18" i="2"/>
  <c r="N30" i="2" s="1"/>
  <c r="W31" i="2"/>
  <c r="V18" i="2"/>
  <c r="V30" i="2" s="1"/>
</calcChain>
</file>

<file path=xl/sharedStrings.xml><?xml version="1.0" encoding="utf-8"?>
<sst xmlns="http://schemas.openxmlformats.org/spreadsheetml/2006/main" count="125" uniqueCount="37">
  <si>
    <t>Stock needed (µl):</t>
  </si>
  <si>
    <t>Total DMSO buffer (µl):</t>
  </si>
  <si>
    <t>Total normal buffer (µl):</t>
  </si>
  <si>
    <t>Left for
wells (µl)</t>
  </si>
  <si>
    <t>DMSO buffer
(µl)</t>
  </si>
  <si>
    <t>Normal buffer
(µl)</t>
  </si>
  <si>
    <t>From prev.
or stock (µl)</t>
  </si>
  <si>
    <t>Vol to
prepare (µl)</t>
  </si>
  <si>
    <t>Conc.
(µM)</t>
  </si>
  <si>
    <t>Conc.
(logM)</t>
  </si>
  <si>
    <t>Dilution Bank</t>
  </si>
  <si>
    <t>Margin (×)</t>
  </si>
  <si>
    <t>aqueous</t>
  </si>
  <si>
    <t>Stock vehicle</t>
  </si>
  <si>
    <t>DMSO</t>
  </si>
  <si>
    <t>Stock conc. (µM)</t>
  </si>
  <si>
    <t>Dilution factor</t>
  </si>
  <si>
    <t>Vol for wells (µl)</t>
  </si>
  <si>
    <t>(spare)</t>
  </si>
  <si>
    <t>Carve</t>
  </si>
  <si>
    <t>Nebi</t>
  </si>
  <si>
    <t>Iso</t>
  </si>
  <si>
    <t>Spare compound block — fill in as needed.</t>
  </si>
  <si>
    <t>Spare compound block — set vehicle to DMSO if the stock is DMSO-based.</t>
  </si>
  <si>
    <t>Ang 1-7 — 31.6 µM working (-4.5).</t>
  </si>
  <si>
    <t>Ang II — 1 µM working (-6). Add more logM rows below for a dose-response.</t>
  </si>
  <si>
    <t>Final DMSO in the well after the 50 µl + 50 µl (2×) addition.</t>
  </si>
  <si>
    <t>→ In-well DMSO (½ × working)</t>
  </si>
  <si>
    <t>What every compound-side tube is matched to. Referenced by all blocks.</t>
  </si>
  <si>
    <t>Effective target — working DMSO</t>
  </si>
  <si>
    <t>Optional: type a % to force a specific target; leave blank to use computed.</t>
  </si>
  <si>
    <t>Override target (blank = auto)</t>
  </si>
  <si>
    <t>Highest DMSO load across all compounds (from each stock, 100% DMSO).</t>
  </si>
  <si>
    <t>Computed max working DMSO</t>
  </si>
  <si>
    <t>DMSO VEHICLE MATCHING  (auto)</t>
  </si>
  <si>
    <t>Back-propagation: each tube is prepared with enough volume for its own wells PLUS the aliquot the next (lower) dilution draws from it. Fill the blue cells only — per block set Vol/Dilution/Stock/Vehicle/Margin, then one Conc. (logM) per row, most concentrated at top. DMSO matching is automatic (panel below): tubes are split into DMSO-free 'Normal buffer' and 'DMSO buffer' so every compound well hits the same DMSO. Terbium is never matched.</t>
  </si>
  <si>
    <t>COMPOUND SERIAL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</si>
</sst>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b/>
      <sz val="10"/>
      <color rgb="FF404040"/>
      <name val="Arial"/>
      <family val="2"/>
    </font>
    <font>
      <sz val="10"/>
      <color rgb="FF000000"/>
      <name val="Arial"/>
      <family val="2"/>
    </font>
    <font>
      <sz val="10"/>
      <color rgb="FF0000CC"/>
      <name val="Arial"/>
      <family val="2"/>
    </font>
    <font>
      <b/>
      <sz val="8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0000CC"/>
      <name val="Arial"/>
      <family val="2"/>
    </font>
    <font>
      <b/>
      <sz val="9"/>
      <color rgb="FFBF9000"/>
      <name val="Arial"/>
      <family val="2"/>
    </font>
    <font>
      <sz val="9"/>
      <color rgb="FF808080"/>
      <name val="Arial"/>
      <family val="2"/>
    </font>
    <font>
      <b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2F6B6B"/>
      </patternFill>
    </fill>
    <fill>
      <patternFill patternType="solid">
        <fgColor rgb="FF1F3864"/>
        <bgColor rgb="FF3333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164" fontId="2" fillId="2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164" fontId="4" fillId="2" borderId="1" xfId="1" applyNumberFormat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11" fontId="4" fillId="2" borderId="1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 vertical="center"/>
    </xf>
    <xf numFmtId="164" fontId="5" fillId="3" borderId="2" xfId="1" applyNumberFormat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1" fontId="5" fillId="3" borderId="2" xfId="1" applyNumberFormat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11" fillId="5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BB3EC286-667F-5F43-BC78-0CBB071F5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1A60-F075-B543-A1B5-DEAB60E61BE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FE3B-89C1-D24C-A879-87F785516A4B}">
  <dimension ref="B1:AV32"/>
  <sheetViews>
    <sheetView showGridLines="0" tabSelected="1" zoomScale="75" zoomScaleNormal="145" workbookViewId="0">
      <pane xSplit="1" ySplit="17" topLeftCell="B18" activePane="bottomRight" state="frozen"/>
      <selection pane="topRight" activeCell="B1" sqref="B1"/>
      <selection pane="bottomLeft" activeCell="A18" sqref="A18"/>
      <selection pane="bottomRight" activeCell="E14" sqref="E14:F14"/>
    </sheetView>
  </sheetViews>
  <sheetFormatPr baseColWidth="10" defaultColWidth="8.6640625" defaultRowHeight="15" x14ac:dyDescent="0.2"/>
  <cols>
    <col min="1" max="1" width="3" style="1" customWidth="1"/>
    <col min="2" max="2" width="11" style="1" customWidth="1"/>
    <col min="3" max="3" width="12" style="1" customWidth="1"/>
    <col min="4" max="4" width="10" style="1" customWidth="1"/>
    <col min="5" max="5" width="13" style="1" customWidth="1"/>
    <col min="6" max="7" width="10" style="1" customWidth="1"/>
    <col min="8" max="8" width="11" style="1" customWidth="1"/>
    <col min="9" max="9" width="2" style="1" customWidth="1"/>
    <col min="10" max="10" width="11" style="1" customWidth="1"/>
    <col min="11" max="11" width="12" style="1" customWidth="1"/>
    <col min="12" max="12" width="10" style="1" customWidth="1"/>
    <col min="13" max="13" width="13" style="1" customWidth="1"/>
    <col min="14" max="15" width="10" style="1" customWidth="1"/>
    <col min="16" max="16" width="11" style="1" customWidth="1"/>
    <col min="17" max="17" width="2" style="1" customWidth="1"/>
    <col min="18" max="18" width="11" style="1" customWidth="1"/>
    <col min="19" max="19" width="12" style="1" customWidth="1"/>
    <col min="20" max="20" width="10" style="1" customWidth="1"/>
    <col min="21" max="21" width="13" style="1" customWidth="1"/>
    <col min="22" max="23" width="10" style="1" customWidth="1"/>
    <col min="24" max="24" width="11" style="1" customWidth="1"/>
    <col min="25" max="25" width="2" style="1" customWidth="1"/>
    <col min="26" max="26" width="11" style="1" customWidth="1"/>
    <col min="27" max="27" width="12" style="1" customWidth="1"/>
    <col min="28" max="28" width="10" style="1" customWidth="1"/>
    <col min="29" max="29" width="13" style="1" customWidth="1"/>
    <col min="30" max="31" width="10" style="1" customWidth="1"/>
    <col min="32" max="32" width="11" style="1" customWidth="1"/>
    <col min="33" max="33" width="2" style="1" customWidth="1"/>
    <col min="34" max="34" width="11" style="1" customWidth="1"/>
    <col min="35" max="35" width="12" style="1" customWidth="1"/>
    <col min="36" max="36" width="10" style="1" customWidth="1"/>
    <col min="37" max="37" width="13" style="1" customWidth="1"/>
    <col min="38" max="39" width="10" style="1" customWidth="1"/>
    <col min="40" max="40" width="11" style="1" customWidth="1"/>
    <col min="41" max="41" width="2" style="1" customWidth="1"/>
    <col min="42" max="42" width="11" style="1" customWidth="1"/>
    <col min="43" max="43" width="12" style="1" customWidth="1"/>
    <col min="44" max="44" width="10" style="1" customWidth="1"/>
    <col min="45" max="45" width="13" style="1" customWidth="1"/>
    <col min="46" max="47" width="10" style="1" customWidth="1"/>
    <col min="48" max="48" width="11" style="1" customWidth="1"/>
    <col min="49" max="16384" width="8.6640625" style="1"/>
  </cols>
  <sheetData>
    <row r="1" spans="2:48" ht="31.5" customHeight="1" x14ac:dyDescent="0.2">
      <c r="B1" s="19" t="s">
        <v>36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</row>
    <row r="2" spans="2:48" ht="42" customHeight="1" x14ac:dyDescent="0.2">
      <c r="B2" s="18" t="s">
        <v>35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2:48" x14ac:dyDescent="0.2">
      <c r="B3" s="9" t="s">
        <v>34</v>
      </c>
      <c r="C3" s="9"/>
      <c r="D3" s="9"/>
      <c r="E3" s="9"/>
      <c r="F3" s="9"/>
      <c r="G3" s="9"/>
      <c r="H3" s="9"/>
    </row>
    <row r="4" spans="2:48" x14ac:dyDescent="0.2">
      <c r="B4" s="3" t="s">
        <v>33</v>
      </c>
      <c r="C4" s="3"/>
      <c r="D4" s="3"/>
      <c r="E4" s="16">
        <f>MAX(IF(AND(E14="DMSO",B18&lt;&gt;""),E18/D18,0),IF(AND(M14="DMSO",J18&lt;&gt;""),M18/L18,0),IF(AND(U14="DMSO",R18&lt;&gt;""),U18/T18,0),IF(AND(AC14="DMSO",Z18&lt;&gt;""),AC18/AB18,0),IF(AND(AK14="DMSO",AH18&lt;&gt;""),AK18/AJ18,0),IF(AND(AS14="DMSO",AP18&lt;&gt;""),AS18/AR18,0))</f>
        <v>2E-3</v>
      </c>
      <c r="F4" s="15" t="s">
        <v>32</v>
      </c>
      <c r="G4" s="15"/>
      <c r="H4" s="15"/>
      <c r="I4" s="15"/>
      <c r="J4" s="15"/>
    </row>
    <row r="5" spans="2:48" x14ac:dyDescent="0.2">
      <c r="B5" s="3" t="s">
        <v>31</v>
      </c>
      <c r="C5" s="3"/>
      <c r="D5" s="3"/>
      <c r="E5" s="17"/>
      <c r="F5" s="15" t="s">
        <v>30</v>
      </c>
      <c r="G5" s="15"/>
      <c r="H5" s="15"/>
      <c r="I5" s="15"/>
      <c r="J5" s="15"/>
    </row>
    <row r="6" spans="2:48" x14ac:dyDescent="0.2">
      <c r="B6" s="3" t="s">
        <v>29</v>
      </c>
      <c r="C6" s="3"/>
      <c r="D6" s="3"/>
      <c r="E6" s="16">
        <f>IF(E5="",E4,E5)</f>
        <v>2E-3</v>
      </c>
      <c r="F6" s="15" t="s">
        <v>28</v>
      </c>
      <c r="G6" s="15"/>
      <c r="H6" s="15"/>
      <c r="I6" s="15"/>
      <c r="J6" s="15"/>
    </row>
    <row r="7" spans="2:48" x14ac:dyDescent="0.2">
      <c r="B7" s="3" t="s">
        <v>27</v>
      </c>
      <c r="C7" s="3"/>
      <c r="D7" s="3"/>
      <c r="E7" s="16">
        <f>E6/2</f>
        <v>1E-3</v>
      </c>
      <c r="F7" s="15" t="s">
        <v>26</v>
      </c>
      <c r="G7" s="15"/>
      <c r="H7" s="15"/>
      <c r="I7" s="15"/>
      <c r="J7" s="15"/>
    </row>
    <row r="9" spans="2:48" x14ac:dyDescent="0.2">
      <c r="B9" s="14" t="s">
        <v>25</v>
      </c>
      <c r="C9" s="14"/>
      <c r="D9" s="14"/>
      <c r="E9" s="14"/>
      <c r="F9" s="14"/>
      <c r="G9" s="14"/>
      <c r="H9" s="14"/>
      <c r="J9" s="14" t="s">
        <v>24</v>
      </c>
      <c r="K9" s="14"/>
      <c r="L9" s="14"/>
      <c r="M9" s="14"/>
      <c r="N9" s="14"/>
      <c r="O9" s="14"/>
      <c r="P9" s="14"/>
      <c r="R9" s="14" t="s">
        <v>23</v>
      </c>
      <c r="S9" s="14"/>
      <c r="T9" s="14"/>
      <c r="U9" s="14"/>
      <c r="V9" s="14"/>
      <c r="W9" s="14"/>
      <c r="X9" s="14"/>
      <c r="Z9" s="14" t="s">
        <v>22</v>
      </c>
      <c r="AA9" s="14"/>
      <c r="AB9" s="14"/>
      <c r="AC9" s="14"/>
      <c r="AD9" s="14"/>
      <c r="AE9" s="14"/>
      <c r="AF9" s="14"/>
      <c r="AH9" s="14" t="s">
        <v>22</v>
      </c>
      <c r="AI9" s="14"/>
      <c r="AJ9" s="14"/>
      <c r="AK9" s="14"/>
      <c r="AL9" s="14"/>
      <c r="AM9" s="14"/>
      <c r="AN9" s="14"/>
      <c r="AP9" s="14" t="s">
        <v>22</v>
      </c>
      <c r="AQ9" s="14"/>
      <c r="AR9" s="14"/>
      <c r="AS9" s="14"/>
      <c r="AT9" s="14"/>
      <c r="AU9" s="14"/>
      <c r="AV9" s="14"/>
    </row>
    <row r="10" spans="2:48" x14ac:dyDescent="0.2">
      <c r="B10" s="13" t="s">
        <v>21</v>
      </c>
      <c r="C10" s="13"/>
      <c r="D10" s="13"/>
      <c r="E10" s="13"/>
      <c r="F10" s="13"/>
      <c r="G10" s="13"/>
      <c r="H10" s="13"/>
      <c r="J10" s="13" t="s">
        <v>20</v>
      </c>
      <c r="K10" s="13"/>
      <c r="L10" s="13"/>
      <c r="M10" s="13"/>
      <c r="N10" s="13"/>
      <c r="O10" s="13"/>
      <c r="P10" s="13"/>
      <c r="R10" s="13" t="s">
        <v>19</v>
      </c>
      <c r="S10" s="13"/>
      <c r="T10" s="13"/>
      <c r="U10" s="13"/>
      <c r="V10" s="13"/>
      <c r="W10" s="13"/>
      <c r="X10" s="13"/>
      <c r="Z10" s="13" t="s">
        <v>18</v>
      </c>
      <c r="AA10" s="13"/>
      <c r="AB10" s="13"/>
      <c r="AC10" s="13"/>
      <c r="AD10" s="13"/>
      <c r="AE10" s="13"/>
      <c r="AF10" s="13"/>
      <c r="AH10" s="13" t="s">
        <v>18</v>
      </c>
      <c r="AI10" s="13"/>
      <c r="AJ10" s="13"/>
      <c r="AK10" s="13"/>
      <c r="AL10" s="13"/>
      <c r="AM10" s="13"/>
      <c r="AN10" s="13"/>
      <c r="AP10" s="13" t="s">
        <v>18</v>
      </c>
      <c r="AQ10" s="13"/>
      <c r="AR10" s="13"/>
      <c r="AS10" s="13"/>
      <c r="AT10" s="13"/>
      <c r="AU10" s="13"/>
      <c r="AV10" s="13"/>
    </row>
    <row r="11" spans="2:48" x14ac:dyDescent="0.2">
      <c r="B11" s="3" t="s">
        <v>17</v>
      </c>
      <c r="C11" s="3"/>
      <c r="D11" s="3"/>
      <c r="E11" s="12">
        <v>200</v>
      </c>
      <c r="F11" s="12"/>
      <c r="J11" s="3" t="s">
        <v>17</v>
      </c>
      <c r="K11" s="3"/>
      <c r="L11" s="3"/>
      <c r="M11" s="12">
        <v>200</v>
      </c>
      <c r="N11" s="12"/>
      <c r="R11" s="3" t="s">
        <v>17</v>
      </c>
      <c r="S11" s="3"/>
      <c r="T11" s="3"/>
      <c r="U11" s="12">
        <v>200</v>
      </c>
      <c r="V11" s="12"/>
      <c r="Z11" s="3" t="s">
        <v>17</v>
      </c>
      <c r="AA11" s="3"/>
      <c r="AB11" s="3"/>
      <c r="AC11" s="12">
        <v>500</v>
      </c>
      <c r="AD11" s="12"/>
      <c r="AH11" s="3" t="s">
        <v>17</v>
      </c>
      <c r="AI11" s="3"/>
      <c r="AJ11" s="3"/>
      <c r="AK11" s="12">
        <v>500</v>
      </c>
      <c r="AL11" s="12"/>
      <c r="AP11" s="3" t="s">
        <v>17</v>
      </c>
      <c r="AQ11" s="3"/>
      <c r="AR11" s="3"/>
      <c r="AS11" s="12">
        <v>500</v>
      </c>
      <c r="AT11" s="12"/>
    </row>
    <row r="12" spans="2:48" x14ac:dyDescent="0.2">
      <c r="B12" s="3" t="s">
        <v>16</v>
      </c>
      <c r="C12" s="3"/>
      <c r="D12" s="3"/>
      <c r="E12" s="12">
        <v>2</v>
      </c>
      <c r="F12" s="12"/>
      <c r="J12" s="3" t="s">
        <v>16</v>
      </c>
      <c r="K12" s="3"/>
      <c r="L12" s="3"/>
      <c r="M12" s="12">
        <v>2</v>
      </c>
      <c r="N12" s="12"/>
      <c r="R12" s="3" t="s">
        <v>16</v>
      </c>
      <c r="S12" s="3"/>
      <c r="T12" s="3"/>
      <c r="U12" s="12">
        <v>2</v>
      </c>
      <c r="V12" s="12"/>
      <c r="Z12" s="3" t="s">
        <v>16</v>
      </c>
      <c r="AA12" s="3"/>
      <c r="AB12" s="3"/>
      <c r="AC12" s="12">
        <v>2</v>
      </c>
      <c r="AD12" s="12"/>
      <c r="AH12" s="3" t="s">
        <v>16</v>
      </c>
      <c r="AI12" s="3"/>
      <c r="AJ12" s="3"/>
      <c r="AK12" s="12">
        <v>2</v>
      </c>
      <c r="AL12" s="12"/>
      <c r="AP12" s="3" t="s">
        <v>16</v>
      </c>
      <c r="AQ12" s="3"/>
      <c r="AR12" s="3"/>
      <c r="AS12" s="12">
        <v>2</v>
      </c>
      <c r="AT12" s="12"/>
    </row>
    <row r="13" spans="2:48" x14ac:dyDescent="0.2">
      <c r="B13" s="3" t="s">
        <v>15</v>
      </c>
      <c r="C13" s="3"/>
      <c r="D13" s="3"/>
      <c r="E13" s="12">
        <v>10000</v>
      </c>
      <c r="F13" s="12"/>
      <c r="J13" s="3" t="s">
        <v>15</v>
      </c>
      <c r="K13" s="3"/>
      <c r="L13" s="3"/>
      <c r="M13" s="12">
        <v>10000</v>
      </c>
      <c r="N13" s="12"/>
      <c r="R13" s="3" t="s">
        <v>15</v>
      </c>
      <c r="S13" s="3"/>
      <c r="T13" s="3"/>
      <c r="U13" s="12">
        <v>10000</v>
      </c>
      <c r="V13" s="12"/>
      <c r="Z13" s="3" t="s">
        <v>15</v>
      </c>
      <c r="AA13" s="3"/>
      <c r="AB13" s="3"/>
      <c r="AC13" s="12">
        <v>1000</v>
      </c>
      <c r="AD13" s="12"/>
      <c r="AH13" s="3" t="s">
        <v>15</v>
      </c>
      <c r="AI13" s="3"/>
      <c r="AJ13" s="3"/>
      <c r="AK13" s="12">
        <v>1000</v>
      </c>
      <c r="AL13" s="12"/>
      <c r="AP13" s="3" t="s">
        <v>15</v>
      </c>
      <c r="AQ13" s="3"/>
      <c r="AR13" s="3"/>
      <c r="AS13" s="12">
        <v>1000</v>
      </c>
      <c r="AT13" s="12"/>
    </row>
    <row r="14" spans="2:48" x14ac:dyDescent="0.2">
      <c r="B14" s="3" t="s">
        <v>13</v>
      </c>
      <c r="C14" s="3"/>
      <c r="D14" s="3"/>
      <c r="E14" s="11" t="s">
        <v>12</v>
      </c>
      <c r="F14" s="11"/>
      <c r="J14" s="3" t="s">
        <v>13</v>
      </c>
      <c r="K14" s="3"/>
      <c r="L14" s="3"/>
      <c r="M14" s="11" t="s">
        <v>14</v>
      </c>
      <c r="N14" s="11"/>
      <c r="R14" s="3" t="s">
        <v>13</v>
      </c>
      <c r="S14" s="3"/>
      <c r="T14" s="3"/>
      <c r="U14" s="11" t="s">
        <v>14</v>
      </c>
      <c r="V14" s="11"/>
      <c r="Z14" s="3" t="s">
        <v>13</v>
      </c>
      <c r="AA14" s="3"/>
      <c r="AB14" s="3"/>
      <c r="AC14" s="11" t="s">
        <v>12</v>
      </c>
      <c r="AD14" s="11"/>
      <c r="AH14" s="3" t="s">
        <v>13</v>
      </c>
      <c r="AI14" s="3"/>
      <c r="AJ14" s="3"/>
      <c r="AK14" s="11" t="s">
        <v>12</v>
      </c>
      <c r="AL14" s="11"/>
      <c r="AP14" s="3" t="s">
        <v>13</v>
      </c>
      <c r="AQ14" s="3"/>
      <c r="AR14" s="3"/>
      <c r="AS14" s="11" t="s">
        <v>12</v>
      </c>
      <c r="AT14" s="11"/>
    </row>
    <row r="15" spans="2:48" x14ac:dyDescent="0.2">
      <c r="B15" s="3" t="s">
        <v>11</v>
      </c>
      <c r="C15" s="3"/>
      <c r="D15" s="3"/>
      <c r="E15" s="10">
        <v>1</v>
      </c>
      <c r="F15" s="10"/>
      <c r="J15" s="3" t="s">
        <v>11</v>
      </c>
      <c r="K15" s="3"/>
      <c r="L15" s="3"/>
      <c r="M15" s="10">
        <v>1</v>
      </c>
      <c r="N15" s="10"/>
      <c r="R15" s="3" t="s">
        <v>11</v>
      </c>
      <c r="S15" s="3"/>
      <c r="T15" s="3"/>
      <c r="U15" s="10">
        <v>1</v>
      </c>
      <c r="V15" s="10"/>
      <c r="Z15" s="3" t="s">
        <v>11</v>
      </c>
      <c r="AA15" s="3"/>
      <c r="AB15" s="3"/>
      <c r="AC15" s="10">
        <v>1</v>
      </c>
      <c r="AD15" s="10"/>
      <c r="AH15" s="3" t="s">
        <v>11</v>
      </c>
      <c r="AI15" s="3"/>
      <c r="AJ15" s="3"/>
      <c r="AK15" s="10">
        <v>1</v>
      </c>
      <c r="AL15" s="10"/>
      <c r="AP15" s="3" t="s">
        <v>11</v>
      </c>
      <c r="AQ15" s="3"/>
      <c r="AR15" s="3"/>
      <c r="AS15" s="10">
        <v>1</v>
      </c>
      <c r="AT15" s="10"/>
    </row>
    <row r="16" spans="2:48" x14ac:dyDescent="0.2">
      <c r="B16" s="9" t="s">
        <v>10</v>
      </c>
      <c r="C16" s="9"/>
      <c r="D16" s="9"/>
      <c r="E16" s="9"/>
      <c r="F16" s="9"/>
      <c r="G16" s="9"/>
      <c r="H16" s="9"/>
      <c r="J16" s="9" t="s">
        <v>10</v>
      </c>
      <c r="K16" s="9"/>
      <c r="L16" s="9"/>
      <c r="M16" s="9"/>
      <c r="N16" s="9"/>
      <c r="O16" s="9"/>
      <c r="P16" s="9"/>
      <c r="R16" s="9" t="s">
        <v>10</v>
      </c>
      <c r="S16" s="9"/>
      <c r="T16" s="9"/>
      <c r="U16" s="9"/>
      <c r="V16" s="9"/>
      <c r="W16" s="9"/>
      <c r="X16" s="9"/>
      <c r="Z16" s="9" t="s">
        <v>10</v>
      </c>
      <c r="AA16" s="9"/>
      <c r="AB16" s="9"/>
      <c r="AC16" s="9"/>
      <c r="AD16" s="9"/>
      <c r="AE16" s="9"/>
      <c r="AF16" s="9"/>
      <c r="AH16" s="9" t="s">
        <v>10</v>
      </c>
      <c r="AI16" s="9"/>
      <c r="AJ16" s="9"/>
      <c r="AK16" s="9"/>
      <c r="AL16" s="9"/>
      <c r="AM16" s="9"/>
      <c r="AN16" s="9"/>
      <c r="AP16" s="9" t="s">
        <v>10</v>
      </c>
      <c r="AQ16" s="9"/>
      <c r="AR16" s="9"/>
      <c r="AS16" s="9"/>
      <c r="AT16" s="9"/>
      <c r="AU16" s="9"/>
      <c r="AV16" s="9"/>
    </row>
    <row r="17" spans="2:48" ht="25.5" customHeight="1" x14ac:dyDescent="0.2">
      <c r="B17" s="8" t="s">
        <v>9</v>
      </c>
      <c r="C17" s="8" t="s">
        <v>8</v>
      </c>
      <c r="D17" s="8" t="s">
        <v>7</v>
      </c>
      <c r="E17" s="8" t="s">
        <v>6</v>
      </c>
      <c r="F17" s="8" t="s">
        <v>5</v>
      </c>
      <c r="G17" s="8" t="s">
        <v>4</v>
      </c>
      <c r="H17" s="8" t="s">
        <v>3</v>
      </c>
      <c r="J17" s="8" t="s">
        <v>9</v>
      </c>
      <c r="K17" s="8" t="s">
        <v>8</v>
      </c>
      <c r="L17" s="8" t="s">
        <v>7</v>
      </c>
      <c r="M17" s="8" t="s">
        <v>6</v>
      </c>
      <c r="N17" s="8" t="s">
        <v>5</v>
      </c>
      <c r="O17" s="8" t="s">
        <v>4</v>
      </c>
      <c r="P17" s="8" t="s">
        <v>3</v>
      </c>
      <c r="R17" s="8" t="s">
        <v>9</v>
      </c>
      <c r="S17" s="8" t="s">
        <v>8</v>
      </c>
      <c r="T17" s="8" t="s">
        <v>7</v>
      </c>
      <c r="U17" s="8" t="s">
        <v>6</v>
      </c>
      <c r="V17" s="8" t="s">
        <v>5</v>
      </c>
      <c r="W17" s="8" t="s">
        <v>4</v>
      </c>
      <c r="X17" s="8" t="s">
        <v>3</v>
      </c>
      <c r="Z17" s="8" t="s">
        <v>9</v>
      </c>
      <c r="AA17" s="8" t="s">
        <v>8</v>
      </c>
      <c r="AB17" s="8" t="s">
        <v>7</v>
      </c>
      <c r="AC17" s="8" t="s">
        <v>6</v>
      </c>
      <c r="AD17" s="8" t="s">
        <v>5</v>
      </c>
      <c r="AE17" s="8" t="s">
        <v>4</v>
      </c>
      <c r="AF17" s="8" t="s">
        <v>3</v>
      </c>
      <c r="AH17" s="8" t="s">
        <v>9</v>
      </c>
      <c r="AI17" s="8" t="s">
        <v>8</v>
      </c>
      <c r="AJ17" s="8" t="s">
        <v>7</v>
      </c>
      <c r="AK17" s="8" t="s">
        <v>6</v>
      </c>
      <c r="AL17" s="8" t="s">
        <v>5</v>
      </c>
      <c r="AM17" s="8" t="s">
        <v>4</v>
      </c>
      <c r="AN17" s="8" t="s">
        <v>3</v>
      </c>
      <c r="AP17" s="8" t="s">
        <v>9</v>
      </c>
      <c r="AQ17" s="8" t="s">
        <v>8</v>
      </c>
      <c r="AR17" s="8" t="s">
        <v>7</v>
      </c>
      <c r="AS17" s="8" t="s">
        <v>6</v>
      </c>
      <c r="AT17" s="8" t="s">
        <v>5</v>
      </c>
      <c r="AU17" s="8" t="s">
        <v>4</v>
      </c>
      <c r="AV17" s="8" t="s">
        <v>3</v>
      </c>
    </row>
    <row r="18" spans="2:48" x14ac:dyDescent="0.2">
      <c r="B18" s="7">
        <v>-5</v>
      </c>
      <c r="C18" s="6">
        <f>IF(B18="","",(10^B18)*1000000)</f>
        <v>10</v>
      </c>
      <c r="D18" s="5">
        <f>IF(B18="","",IF(B19="",CEILING($E$11*$E$15,1),CEILING($E$11*$E$15+(D19*C19)/C18,1)))</f>
        <v>200</v>
      </c>
      <c r="E18" s="4">
        <f>IF(B18="","",(D18*C18*$E$12)/$E$13)</f>
        <v>0.4</v>
      </c>
      <c r="F18" s="4">
        <f>IF(B18="","",(D18-E18)-G18)</f>
        <v>0</v>
      </c>
      <c r="G18" s="4">
        <f>IF(B18="","",IF($E$6=0,0,MAX(0,MIN(D18-E18,D18-(E18*IF($E$14="DMSO",1,0))/$E$6))))</f>
        <v>199.6</v>
      </c>
      <c r="H18" s="4">
        <f>IF(B18="","",IF(B19="",D18,D18-E19))</f>
        <v>200</v>
      </c>
      <c r="J18" s="7">
        <v>-5</v>
      </c>
      <c r="K18" s="6">
        <f>IF(J18="","",(10^J18)*1000000)</f>
        <v>10</v>
      </c>
      <c r="L18" s="5">
        <f>IF(J18="","",IF(J19="",CEILING($M$11*$M$15,1),CEILING($M$11*$M$15+(L19*K19)/K18,1)))</f>
        <v>200</v>
      </c>
      <c r="M18" s="4">
        <f>IF(J18="","",(L18*K18*$M$12)/$M$13)</f>
        <v>0.4</v>
      </c>
      <c r="N18" s="4">
        <f>IF(J18="","",(L18-M18)-O18)</f>
        <v>199.6</v>
      </c>
      <c r="O18" s="4">
        <f>IF(J18="","",IF($E$6=0,0,MAX(0,MIN(L18-M18,L18-(M18*IF($M$14="DMSO",1,0))/$E$6))))</f>
        <v>0</v>
      </c>
      <c r="P18" s="4">
        <f>IF(J18="","",IF(J19="",L18,L18-M19))</f>
        <v>200</v>
      </c>
      <c r="R18" s="7">
        <v>-5</v>
      </c>
      <c r="S18" s="6">
        <f>IF(R18="","",(10^R18)*1000000)</f>
        <v>10</v>
      </c>
      <c r="T18" s="5">
        <f>IF(R18="","",IF(R19="",CEILING($U$11*$U$15,1),CEILING($U$11*$U$15+(T19*S19)/S18,1)))</f>
        <v>200</v>
      </c>
      <c r="U18" s="4">
        <f>IF(R18="","",(T18*S18*$U$12)/$U$13)</f>
        <v>0.4</v>
      </c>
      <c r="V18" s="4">
        <f>IF(R18="","",(T18-U18)-W18)</f>
        <v>199.6</v>
      </c>
      <c r="W18" s="4">
        <f>IF(R18="","",IF($E$6=0,0,MAX(0,MIN(T18-U18,T18-(U18*IF($U$14="DMSO",1,0))/$E$6))))</f>
        <v>0</v>
      </c>
      <c r="X18" s="4">
        <f>IF(R18="","",IF(R19="",T18,T18-U19))</f>
        <v>200</v>
      </c>
      <c r="Z18" s="7"/>
      <c r="AA18" s="6" t="str">
        <f>IF(Z18="","",(10^Z18)*1000000)</f>
        <v/>
      </c>
      <c r="AB18" s="5" t="str">
        <f>IF(Z18="","",IF(Z19="",CEILING($AC$11*$AC$15,1),CEILING($AC$11*$AC$15+(AB19*AA19)/AA18,1)))</f>
        <v/>
      </c>
      <c r="AC18" s="4" t="str">
        <f>IF(Z18="","",(AB18*AA18*$AC$12)/$AC$13)</f>
        <v/>
      </c>
      <c r="AD18" s="4" t="str">
        <f>IF(Z18="","",(AB18-AC18)-AE18)</f>
        <v/>
      </c>
      <c r="AE18" s="4" t="str">
        <f>IF(Z18="","",IF($E$6=0,0,MAX(0,MIN(AB18-AC18,AB18-(AC18*IF($AC$14="DMSO",1,0))/$E$6))))</f>
        <v/>
      </c>
      <c r="AF18" s="4" t="str">
        <f>IF(Z18="","",IF(Z19="",AB18,AB18-AC19))</f>
        <v/>
      </c>
      <c r="AH18" s="7"/>
      <c r="AI18" s="6" t="str">
        <f>IF(AH18="","",(10^AH18)*1000000)</f>
        <v/>
      </c>
      <c r="AJ18" s="5" t="str">
        <f>IF(AH18="","",IF(AH19="",CEILING($AK$11*$AK$15,1),CEILING($AK$11*$AK$15+(AJ19*AI19)/AI18,1)))</f>
        <v/>
      </c>
      <c r="AK18" s="4" t="str">
        <f>IF(AH18="","",(AJ18*AI18*$AK$12)/$AK$13)</f>
        <v/>
      </c>
      <c r="AL18" s="4" t="str">
        <f>IF(AH18="","",(AJ18-AK18)-AM18)</f>
        <v/>
      </c>
      <c r="AM18" s="4" t="str">
        <f>IF(AH18="","",IF($E$6=0,0,MAX(0,MIN(AJ18-AK18,AJ18-(AK18*IF($AK$14="DMSO",1,0))/$E$6))))</f>
        <v/>
      </c>
      <c r="AN18" s="4" t="str">
        <f>IF(AH18="","",IF(AH19="",AJ18,AJ18-AK19))</f>
        <v/>
      </c>
      <c r="AP18" s="7"/>
      <c r="AQ18" s="6" t="str">
        <f>IF(AP18="","",(10^AP18)*1000000)</f>
        <v/>
      </c>
      <c r="AR18" s="5" t="str">
        <f>IF(AP18="","",IF(AP19="",CEILING($AS$11*$AS$15,1),CEILING($AS$11*$AS$15+(AR19*AQ19)/AQ18,1)))</f>
        <v/>
      </c>
      <c r="AS18" s="4" t="str">
        <f>IF(AP18="","",(AR18*AQ18*$AS$12)/$AS$13)</f>
        <v/>
      </c>
      <c r="AT18" s="4" t="str">
        <f>IF(AP18="","",(AR18-AS18)-AU18)</f>
        <v/>
      </c>
      <c r="AU18" s="4" t="str">
        <f>IF(AP18="","",IF($E$6=0,0,MAX(0,MIN(AR18-AS18,AR18-(AS18*IF($AS$14="DMSO",1,0))/$E$6))))</f>
        <v/>
      </c>
      <c r="AV18" s="4" t="str">
        <f>IF(AP18="","",IF(AP19="",AR18,AR18-AS19))</f>
        <v/>
      </c>
    </row>
    <row r="19" spans="2:48" x14ac:dyDescent="0.2">
      <c r="B19" s="7"/>
      <c r="C19" s="6" t="str">
        <f>IF(B19="","",(10^B19)*1000000)</f>
        <v/>
      </c>
      <c r="D19" s="5" t="str">
        <f>IF(B19="","",IF(B20="",CEILING($E$11*$E$15,1),CEILING($E$11*$E$15+(D20*C20)/C19,1)))</f>
        <v/>
      </c>
      <c r="E19" s="4" t="str">
        <f>IF(B19="","",(D19*C19)/C18)</f>
        <v/>
      </c>
      <c r="F19" s="4" t="str">
        <f>IF(B19="","",(D19-E19)-G19)</f>
        <v/>
      </c>
      <c r="G19" s="4" t="str">
        <f>IF(B19="","",IF($E$6=0,0,MAX(0,MIN(D19-E19,D19-(E19*$E$6)/$E$6))))</f>
        <v/>
      </c>
      <c r="H19" s="4" t="str">
        <f>IF(B19="","",IF(B20="",D19,D19-E20))</f>
        <v/>
      </c>
      <c r="J19" s="7"/>
      <c r="K19" s="6" t="str">
        <f>IF(J19="","",(10^J19)*1000000)</f>
        <v/>
      </c>
      <c r="L19" s="5" t="str">
        <f>IF(J19="","",IF(J20="",CEILING($M$11*$M$15,1),CEILING($M$11*$M$15+(L20*K20)/K19,1)))</f>
        <v/>
      </c>
      <c r="M19" s="4" t="str">
        <f>IF(J19="","",(L19*K19)/K18)</f>
        <v/>
      </c>
      <c r="N19" s="4" t="str">
        <f>IF(J19="","",(L19-M19)-O19)</f>
        <v/>
      </c>
      <c r="O19" s="4" t="str">
        <f>IF(J19="","",IF($E$6=0,0,MAX(0,MIN(L19-M19,L19-(M19*$E$6)/$E$6))))</f>
        <v/>
      </c>
      <c r="P19" s="4" t="str">
        <f>IF(J19="","",IF(J20="",L19,L19-M20))</f>
        <v/>
      </c>
      <c r="R19" s="7"/>
      <c r="S19" s="6" t="str">
        <f>IF(R19="","",(10^R19)*1000000)</f>
        <v/>
      </c>
      <c r="T19" s="5" t="str">
        <f>IF(R19="","",IF(R20="",CEILING($U$11*$U$15,1),CEILING($U$11*$U$15+(T20*S20)/S19,1)))</f>
        <v/>
      </c>
      <c r="U19" s="4" t="str">
        <f>IF(R19="","",(T19*S19)/S18)</f>
        <v/>
      </c>
      <c r="V19" s="4" t="str">
        <f>IF(R19="","",(T19-U19)-W19)</f>
        <v/>
      </c>
      <c r="W19" s="4" t="str">
        <f>IF(R19="","",IF($E$6=0,0,MAX(0,MIN(T19-U19,T19-(U19*$E$6)/$E$6))))</f>
        <v/>
      </c>
      <c r="X19" s="4" t="str">
        <f>IF(R19="","",IF(R20="",T19,T19-U20))</f>
        <v/>
      </c>
      <c r="Z19" s="7"/>
      <c r="AA19" s="6" t="str">
        <f>IF(Z19="","",(10^Z19)*1000000)</f>
        <v/>
      </c>
      <c r="AB19" s="5" t="str">
        <f>IF(Z19="","",IF(Z20="",CEILING($AC$11*$AC$15,1),CEILING($AC$11*$AC$15+(AB20*AA20)/AA19,1)))</f>
        <v/>
      </c>
      <c r="AC19" s="4" t="str">
        <f>IF(Z19="","",(AB19*AA19)/AA18)</f>
        <v/>
      </c>
      <c r="AD19" s="4" t="str">
        <f>IF(Z19="","",(AB19-AC19)-AE19)</f>
        <v/>
      </c>
      <c r="AE19" s="4" t="str">
        <f>IF(Z19="","",IF($E$6=0,0,MAX(0,MIN(AB19-AC19,AB19-(AC19*$E$6)/$E$6))))</f>
        <v/>
      </c>
      <c r="AF19" s="4" t="str">
        <f>IF(Z19="","",IF(Z20="",AB19,AB19-AC20))</f>
        <v/>
      </c>
      <c r="AH19" s="7"/>
      <c r="AI19" s="6" t="str">
        <f>IF(AH19="","",(10^AH19)*1000000)</f>
        <v/>
      </c>
      <c r="AJ19" s="5" t="str">
        <f>IF(AH19="","",IF(AH20="",CEILING($AK$11*$AK$15,1),CEILING($AK$11*$AK$15+(AJ20*AI20)/AI19,1)))</f>
        <v/>
      </c>
      <c r="AK19" s="4" t="str">
        <f>IF(AH19="","",(AJ19*AI19)/AI18)</f>
        <v/>
      </c>
      <c r="AL19" s="4" t="str">
        <f>IF(AH19="","",(AJ19-AK19)-AM19)</f>
        <v/>
      </c>
      <c r="AM19" s="4" t="str">
        <f>IF(AH19="","",IF($E$6=0,0,MAX(0,MIN(AJ19-AK19,AJ19-(AK19*$E$6)/$E$6))))</f>
        <v/>
      </c>
      <c r="AN19" s="4" t="str">
        <f>IF(AH19="","",IF(AH20="",AJ19,AJ19-AK20))</f>
        <v/>
      </c>
      <c r="AP19" s="7"/>
      <c r="AQ19" s="6" t="str">
        <f>IF(AP19="","",(10^AP19)*1000000)</f>
        <v/>
      </c>
      <c r="AR19" s="5" t="str">
        <f>IF(AP19="","",IF(AP20="",CEILING($AS$11*$AS$15,1),CEILING($AS$11*$AS$15+(AR20*AQ20)/AQ19,1)))</f>
        <v/>
      </c>
      <c r="AS19" s="4" t="str">
        <f>IF(AP19="","",(AR19*AQ19)/AQ18)</f>
        <v/>
      </c>
      <c r="AT19" s="4" t="str">
        <f>IF(AP19="","",(AR19-AS19)-AU19)</f>
        <v/>
      </c>
      <c r="AU19" s="4" t="str">
        <f>IF(AP19="","",IF($E$6=0,0,MAX(0,MIN(AR19-AS19,AR19-(AS19*$E$6)/$E$6))))</f>
        <v/>
      </c>
      <c r="AV19" s="4" t="str">
        <f>IF(AP19="","",IF(AP20="",AR19,AR19-AS20))</f>
        <v/>
      </c>
    </row>
    <row r="20" spans="2:48" x14ac:dyDescent="0.2">
      <c r="B20" s="7"/>
      <c r="C20" s="6" t="str">
        <f>IF(B20="","",(10^B20)*1000000)</f>
        <v/>
      </c>
      <c r="D20" s="5" t="str">
        <f>IF(B20="","",IF(B21="",CEILING($E$11*$E$15,1),CEILING($E$11*$E$15+(D21*C21)/C20,1)))</f>
        <v/>
      </c>
      <c r="E20" s="4" t="str">
        <f>IF(B20="","",(D20*C20)/C19)</f>
        <v/>
      </c>
      <c r="F20" s="4" t="str">
        <f>IF(B20="","",(D20-E20)-G20)</f>
        <v/>
      </c>
      <c r="G20" s="4" t="str">
        <f>IF(B20="","",IF($E$6=0,0,MAX(0,MIN(D20-E20,D20-(E20*$E$6)/$E$6))))</f>
        <v/>
      </c>
      <c r="H20" s="4" t="str">
        <f>IF(B20="","",IF(B21="",D20,D20-E21))</f>
        <v/>
      </c>
      <c r="J20" s="7"/>
      <c r="K20" s="6" t="str">
        <f>IF(J20="","",(10^J20)*1000000)</f>
        <v/>
      </c>
      <c r="L20" s="5" t="str">
        <f>IF(J20="","",IF(J21="",CEILING($M$11*$M$15,1),CEILING($M$11*$M$15+(L21*K21)/K20,1)))</f>
        <v/>
      </c>
      <c r="M20" s="4" t="str">
        <f>IF(J20="","",(L20*K20)/K19)</f>
        <v/>
      </c>
      <c r="N20" s="4" t="str">
        <f>IF(J20="","",(L20-M20)-O20)</f>
        <v/>
      </c>
      <c r="O20" s="4" t="str">
        <f>IF(J20="","",IF($E$6=0,0,MAX(0,MIN(L20-M20,L20-(M20*$E$6)/$E$6))))</f>
        <v/>
      </c>
      <c r="P20" s="4" t="str">
        <f>IF(J20="","",IF(J21="",L20,L20-M21))</f>
        <v/>
      </c>
      <c r="R20" s="7"/>
      <c r="S20" s="6" t="str">
        <f>IF(R20="","",(10^R20)*1000000)</f>
        <v/>
      </c>
      <c r="T20" s="5" t="str">
        <f>IF(R20="","",IF(R21="",CEILING($U$11*$U$15,1),CEILING($U$11*$U$15+(T21*S21)/S20,1)))</f>
        <v/>
      </c>
      <c r="U20" s="4" t="str">
        <f>IF(R20="","",(T20*S20)/S19)</f>
        <v/>
      </c>
      <c r="V20" s="4" t="str">
        <f>IF(R20="","",(T20-U20)-W20)</f>
        <v/>
      </c>
      <c r="W20" s="4" t="str">
        <f>IF(R20="","",IF($E$6=0,0,MAX(0,MIN(T20-U20,T20-(U20*$E$6)/$E$6))))</f>
        <v/>
      </c>
      <c r="X20" s="4" t="str">
        <f>IF(R20="","",IF(R21="",T20,T20-U21))</f>
        <v/>
      </c>
      <c r="Z20" s="7"/>
      <c r="AA20" s="6" t="str">
        <f>IF(Z20="","",(10^Z20)*1000000)</f>
        <v/>
      </c>
      <c r="AB20" s="5" t="str">
        <f>IF(Z20="","",IF(Z21="",CEILING($AC$11*$AC$15,1),CEILING($AC$11*$AC$15+(AB21*AA21)/AA20,1)))</f>
        <v/>
      </c>
      <c r="AC20" s="4" t="str">
        <f>IF(Z20="","",(AB20*AA20)/AA19)</f>
        <v/>
      </c>
      <c r="AD20" s="4" t="str">
        <f>IF(Z20="","",(AB20-AC20)-AE20)</f>
        <v/>
      </c>
      <c r="AE20" s="4" t="str">
        <f>IF(Z20="","",IF($E$6=0,0,MAX(0,MIN(AB20-AC20,AB20-(AC20*$E$6)/$E$6))))</f>
        <v/>
      </c>
      <c r="AF20" s="4" t="str">
        <f>IF(Z20="","",IF(Z21="",AB20,AB20-AC21))</f>
        <v/>
      </c>
      <c r="AH20" s="7"/>
      <c r="AI20" s="6" t="str">
        <f>IF(AH20="","",(10^AH20)*1000000)</f>
        <v/>
      </c>
      <c r="AJ20" s="5" t="str">
        <f>IF(AH20="","",IF(AH21="",CEILING($AK$11*$AK$15,1),CEILING($AK$11*$AK$15+(AJ21*AI21)/AI20,1)))</f>
        <v/>
      </c>
      <c r="AK20" s="4" t="str">
        <f>IF(AH20="","",(AJ20*AI20)/AI19)</f>
        <v/>
      </c>
      <c r="AL20" s="4" t="str">
        <f>IF(AH20="","",(AJ20-AK20)-AM20)</f>
        <v/>
      </c>
      <c r="AM20" s="4" t="str">
        <f>IF(AH20="","",IF($E$6=0,0,MAX(0,MIN(AJ20-AK20,AJ20-(AK20*$E$6)/$E$6))))</f>
        <v/>
      </c>
      <c r="AN20" s="4" t="str">
        <f>IF(AH20="","",IF(AH21="",AJ20,AJ20-AK21))</f>
        <v/>
      </c>
      <c r="AP20" s="7"/>
      <c r="AQ20" s="6" t="str">
        <f>IF(AP20="","",(10^AP20)*1000000)</f>
        <v/>
      </c>
      <c r="AR20" s="5" t="str">
        <f>IF(AP20="","",IF(AP21="",CEILING($AS$11*$AS$15,1),CEILING($AS$11*$AS$15+(AR21*AQ21)/AQ20,1)))</f>
        <v/>
      </c>
      <c r="AS20" s="4" t="str">
        <f>IF(AP20="","",(AR20*AQ20)/AQ19)</f>
        <v/>
      </c>
      <c r="AT20" s="4" t="str">
        <f>IF(AP20="","",(AR20-AS20)-AU20)</f>
        <v/>
      </c>
      <c r="AU20" s="4" t="str">
        <f>IF(AP20="","",IF($E$6=0,0,MAX(0,MIN(AR20-AS20,AR20-(AS20*$E$6)/$E$6))))</f>
        <v/>
      </c>
      <c r="AV20" s="4" t="str">
        <f>IF(AP20="","",IF(AP21="",AR20,AR20-AS21))</f>
        <v/>
      </c>
    </row>
    <row r="21" spans="2:48" x14ac:dyDescent="0.2">
      <c r="B21" s="7"/>
      <c r="C21" s="6" t="str">
        <f>IF(B21="","",(10^B21)*1000000)</f>
        <v/>
      </c>
      <c r="D21" s="5" t="str">
        <f>IF(B21="","",IF(B22="",CEILING($E$11*$E$15,1),CEILING($E$11*$E$15+(D22*C22)/C21,1)))</f>
        <v/>
      </c>
      <c r="E21" s="4" t="str">
        <f>IF(B21="","",(D21*C21)/C20)</f>
        <v/>
      </c>
      <c r="F21" s="4" t="str">
        <f>IF(B21="","",(D21-E21)-G21)</f>
        <v/>
      </c>
      <c r="G21" s="4" t="str">
        <f>IF(B21="","",IF($E$6=0,0,MAX(0,MIN(D21-E21,D21-(E21*$E$6)/$E$6))))</f>
        <v/>
      </c>
      <c r="H21" s="4" t="str">
        <f>IF(B21="","",IF(B22="",D21,D21-E22))</f>
        <v/>
      </c>
      <c r="J21" s="7"/>
      <c r="K21" s="6" t="str">
        <f>IF(J21="","",(10^J21)*1000000)</f>
        <v/>
      </c>
      <c r="L21" s="5" t="str">
        <f>IF(J21="","",IF(J22="",CEILING($M$11*$M$15,1),CEILING($M$11*$M$15+(L22*K22)/K21,1)))</f>
        <v/>
      </c>
      <c r="M21" s="4" t="str">
        <f>IF(J21="","",(L21*K21)/K20)</f>
        <v/>
      </c>
      <c r="N21" s="4" t="str">
        <f>IF(J21="","",(L21-M21)-O21)</f>
        <v/>
      </c>
      <c r="O21" s="4" t="str">
        <f>IF(J21="","",IF($E$6=0,0,MAX(0,MIN(L21-M21,L21-(M21*$E$6)/$E$6))))</f>
        <v/>
      </c>
      <c r="P21" s="4" t="str">
        <f>IF(J21="","",IF(J22="",L21,L21-M22))</f>
        <v/>
      </c>
      <c r="R21" s="7"/>
      <c r="S21" s="6" t="str">
        <f>IF(R21="","",(10^R21)*1000000)</f>
        <v/>
      </c>
      <c r="T21" s="5" t="str">
        <f>IF(R21="","",IF(R22="",CEILING($U$11*$U$15,1),CEILING($U$11*$U$15+(T22*S22)/S21,1)))</f>
        <v/>
      </c>
      <c r="U21" s="4" t="str">
        <f>IF(R21="","",(T21*S21)/S20)</f>
        <v/>
      </c>
      <c r="V21" s="4" t="str">
        <f>IF(R21="","",(T21-U21)-W21)</f>
        <v/>
      </c>
      <c r="W21" s="4" t="str">
        <f>IF(R21="","",IF($E$6=0,0,MAX(0,MIN(T21-U21,T21-(U21*$E$6)/$E$6))))</f>
        <v/>
      </c>
      <c r="X21" s="4" t="str">
        <f>IF(R21="","",IF(R22="",T21,T21-U22))</f>
        <v/>
      </c>
      <c r="Z21" s="7"/>
      <c r="AA21" s="6" t="str">
        <f>IF(Z21="","",(10^Z21)*1000000)</f>
        <v/>
      </c>
      <c r="AB21" s="5" t="str">
        <f>IF(Z21="","",IF(Z22="",CEILING($AC$11*$AC$15,1),CEILING($AC$11*$AC$15+(AB22*AA22)/AA21,1)))</f>
        <v/>
      </c>
      <c r="AC21" s="4" t="str">
        <f>IF(Z21="","",(AB21*AA21)/AA20)</f>
        <v/>
      </c>
      <c r="AD21" s="4" t="str">
        <f>IF(Z21="","",(AB21-AC21)-AE21)</f>
        <v/>
      </c>
      <c r="AE21" s="4" t="str">
        <f>IF(Z21="","",IF($E$6=0,0,MAX(0,MIN(AB21-AC21,AB21-(AC21*$E$6)/$E$6))))</f>
        <v/>
      </c>
      <c r="AF21" s="4" t="str">
        <f>IF(Z21="","",IF(Z22="",AB21,AB21-AC22))</f>
        <v/>
      </c>
      <c r="AH21" s="7"/>
      <c r="AI21" s="6" t="str">
        <f>IF(AH21="","",(10^AH21)*1000000)</f>
        <v/>
      </c>
      <c r="AJ21" s="5" t="str">
        <f>IF(AH21="","",IF(AH22="",CEILING($AK$11*$AK$15,1),CEILING($AK$11*$AK$15+(AJ22*AI22)/AI21,1)))</f>
        <v/>
      </c>
      <c r="AK21" s="4" t="str">
        <f>IF(AH21="","",(AJ21*AI21)/AI20)</f>
        <v/>
      </c>
      <c r="AL21" s="4" t="str">
        <f>IF(AH21="","",(AJ21-AK21)-AM21)</f>
        <v/>
      </c>
      <c r="AM21" s="4" t="str">
        <f>IF(AH21="","",IF($E$6=0,0,MAX(0,MIN(AJ21-AK21,AJ21-(AK21*$E$6)/$E$6))))</f>
        <v/>
      </c>
      <c r="AN21" s="4" t="str">
        <f>IF(AH21="","",IF(AH22="",AJ21,AJ21-AK22))</f>
        <v/>
      </c>
      <c r="AP21" s="7"/>
      <c r="AQ21" s="6" t="str">
        <f>IF(AP21="","",(10^AP21)*1000000)</f>
        <v/>
      </c>
      <c r="AR21" s="5" t="str">
        <f>IF(AP21="","",IF(AP22="",CEILING($AS$11*$AS$15,1),CEILING($AS$11*$AS$15+(AR22*AQ22)/AQ21,1)))</f>
        <v/>
      </c>
      <c r="AS21" s="4" t="str">
        <f>IF(AP21="","",(AR21*AQ21)/AQ20)</f>
        <v/>
      </c>
      <c r="AT21" s="4" t="str">
        <f>IF(AP21="","",(AR21-AS21)-AU21)</f>
        <v/>
      </c>
      <c r="AU21" s="4" t="str">
        <f>IF(AP21="","",IF($E$6=0,0,MAX(0,MIN(AR21-AS21,AR21-(AS21*$E$6)/$E$6))))</f>
        <v/>
      </c>
      <c r="AV21" s="4" t="str">
        <f>IF(AP21="","",IF(AP22="",AR21,AR21-AS22))</f>
        <v/>
      </c>
    </row>
    <row r="22" spans="2:48" x14ac:dyDescent="0.2">
      <c r="B22" s="7"/>
      <c r="C22" s="6" t="str">
        <f>IF(B22="","",(10^B22)*1000000)</f>
        <v/>
      </c>
      <c r="D22" s="5" t="str">
        <f>IF(B22="","",IF(B23="",CEILING($E$11*$E$15,1),CEILING($E$11*$E$15+(D23*C23)/C22,1)))</f>
        <v/>
      </c>
      <c r="E22" s="4" t="str">
        <f>IF(B22="","",(D22*C22)/C21)</f>
        <v/>
      </c>
      <c r="F22" s="4" t="str">
        <f>IF(B22="","",(D22-E22)-G22)</f>
        <v/>
      </c>
      <c r="G22" s="4" t="str">
        <f>IF(B22="","",IF($E$6=0,0,MAX(0,MIN(D22-E22,D22-(E22*$E$6)/$E$6))))</f>
        <v/>
      </c>
      <c r="H22" s="4" t="str">
        <f>IF(B22="","",IF(B23="",D22,D22-E23))</f>
        <v/>
      </c>
      <c r="J22" s="7"/>
      <c r="K22" s="6" t="str">
        <f>IF(J22="","",(10^J22)*1000000)</f>
        <v/>
      </c>
      <c r="L22" s="5" t="str">
        <f>IF(J22="","",IF(J23="",CEILING($M$11*$M$15,1),CEILING($M$11*$M$15+(L23*K23)/K22,1)))</f>
        <v/>
      </c>
      <c r="M22" s="4" t="str">
        <f>IF(J22="","",(L22*K22)/K21)</f>
        <v/>
      </c>
      <c r="N22" s="4" t="str">
        <f>IF(J22="","",(L22-M22)-O22)</f>
        <v/>
      </c>
      <c r="O22" s="4" t="str">
        <f>IF(J22="","",IF($E$6=0,0,MAX(0,MIN(L22-M22,L22-(M22*$E$6)/$E$6))))</f>
        <v/>
      </c>
      <c r="P22" s="4" t="str">
        <f>IF(J22="","",IF(J23="",L22,L22-M23))</f>
        <v/>
      </c>
      <c r="R22" s="7"/>
      <c r="S22" s="6" t="str">
        <f>IF(R22="","",(10^R22)*1000000)</f>
        <v/>
      </c>
      <c r="T22" s="5" t="str">
        <f>IF(R22="","",IF(R23="",CEILING($U$11*$U$15,1),CEILING($U$11*$U$15+(T23*S23)/S22,1)))</f>
        <v/>
      </c>
      <c r="U22" s="4" t="str">
        <f>IF(R22="","",(T22*S22)/S21)</f>
        <v/>
      </c>
      <c r="V22" s="4" t="str">
        <f>IF(R22="","",(T22-U22)-W22)</f>
        <v/>
      </c>
      <c r="W22" s="4" t="str">
        <f>IF(R22="","",IF($E$6=0,0,MAX(0,MIN(T22-U22,T22-(U22*$E$6)/$E$6))))</f>
        <v/>
      </c>
      <c r="X22" s="4" t="str">
        <f>IF(R22="","",IF(R23="",T22,T22-U23))</f>
        <v/>
      </c>
      <c r="Z22" s="7"/>
      <c r="AA22" s="6" t="str">
        <f>IF(Z22="","",(10^Z22)*1000000)</f>
        <v/>
      </c>
      <c r="AB22" s="5" t="str">
        <f>IF(Z22="","",IF(Z23="",CEILING($AC$11*$AC$15,1),CEILING($AC$11*$AC$15+(AB23*AA23)/AA22,1)))</f>
        <v/>
      </c>
      <c r="AC22" s="4" t="str">
        <f>IF(Z22="","",(AB22*AA22)/AA21)</f>
        <v/>
      </c>
      <c r="AD22" s="4" t="str">
        <f>IF(Z22="","",(AB22-AC22)-AE22)</f>
        <v/>
      </c>
      <c r="AE22" s="4" t="str">
        <f>IF(Z22="","",IF($E$6=0,0,MAX(0,MIN(AB22-AC22,AB22-(AC22*$E$6)/$E$6))))</f>
        <v/>
      </c>
      <c r="AF22" s="4" t="str">
        <f>IF(Z22="","",IF(Z23="",AB22,AB22-AC23))</f>
        <v/>
      </c>
      <c r="AH22" s="7"/>
      <c r="AI22" s="6" t="str">
        <f>IF(AH22="","",(10^AH22)*1000000)</f>
        <v/>
      </c>
      <c r="AJ22" s="5" t="str">
        <f>IF(AH22="","",IF(AH23="",CEILING($AK$11*$AK$15,1),CEILING($AK$11*$AK$15+(AJ23*AI23)/AI22,1)))</f>
        <v/>
      </c>
      <c r="AK22" s="4" t="str">
        <f>IF(AH22="","",(AJ22*AI22)/AI21)</f>
        <v/>
      </c>
      <c r="AL22" s="4" t="str">
        <f>IF(AH22="","",(AJ22-AK22)-AM22)</f>
        <v/>
      </c>
      <c r="AM22" s="4" t="str">
        <f>IF(AH22="","",IF($E$6=0,0,MAX(0,MIN(AJ22-AK22,AJ22-(AK22*$E$6)/$E$6))))</f>
        <v/>
      </c>
      <c r="AN22" s="4" t="str">
        <f>IF(AH22="","",IF(AH23="",AJ22,AJ22-AK23))</f>
        <v/>
      </c>
      <c r="AP22" s="7"/>
      <c r="AQ22" s="6" t="str">
        <f>IF(AP22="","",(10^AP22)*1000000)</f>
        <v/>
      </c>
      <c r="AR22" s="5" t="str">
        <f>IF(AP22="","",IF(AP23="",CEILING($AS$11*$AS$15,1),CEILING($AS$11*$AS$15+(AR23*AQ23)/AQ22,1)))</f>
        <v/>
      </c>
      <c r="AS22" s="4" t="str">
        <f>IF(AP22="","",(AR22*AQ22)/AQ21)</f>
        <v/>
      </c>
      <c r="AT22" s="4" t="str">
        <f>IF(AP22="","",(AR22-AS22)-AU22)</f>
        <v/>
      </c>
      <c r="AU22" s="4" t="str">
        <f>IF(AP22="","",IF($E$6=0,0,MAX(0,MIN(AR22-AS22,AR22-(AS22*$E$6)/$E$6))))</f>
        <v/>
      </c>
      <c r="AV22" s="4" t="str">
        <f>IF(AP22="","",IF(AP23="",AR22,AR22-AS23))</f>
        <v/>
      </c>
    </row>
    <row r="23" spans="2:48" x14ac:dyDescent="0.2">
      <c r="B23" s="7"/>
      <c r="C23" s="6" t="str">
        <f>IF(B23="","",(10^B23)*1000000)</f>
        <v/>
      </c>
      <c r="D23" s="5" t="str">
        <f>IF(B23="","",IF(B24="",CEILING($E$11*$E$15,1),CEILING($E$11*$E$15+(D24*C24)/C23,1)))</f>
        <v/>
      </c>
      <c r="E23" s="4" t="str">
        <f>IF(B23="","",(D23*C23)/C22)</f>
        <v/>
      </c>
      <c r="F23" s="4" t="str">
        <f>IF(B23="","",(D23-E23)-G23)</f>
        <v/>
      </c>
      <c r="G23" s="4" t="str">
        <f>IF(B23="","",IF($E$6=0,0,MAX(0,MIN(D23-E23,D23-(E23*$E$6)/$E$6))))</f>
        <v/>
      </c>
      <c r="H23" s="4" t="str">
        <f>IF(B23="","",IF(B24="",D23,D23-E24))</f>
        <v/>
      </c>
      <c r="J23" s="7"/>
      <c r="K23" s="6" t="str">
        <f>IF(J23="","",(10^J23)*1000000)</f>
        <v/>
      </c>
      <c r="L23" s="5" t="str">
        <f>IF(J23="","",IF(J24="",CEILING($M$11*$M$15,1),CEILING($M$11*$M$15+(L24*K24)/K23,1)))</f>
        <v/>
      </c>
      <c r="M23" s="4" t="str">
        <f>IF(J23="","",(L23*K23)/K22)</f>
        <v/>
      </c>
      <c r="N23" s="4" t="str">
        <f>IF(J23="","",(L23-M23)-O23)</f>
        <v/>
      </c>
      <c r="O23" s="4" t="str">
        <f>IF(J23="","",IF($E$6=0,0,MAX(0,MIN(L23-M23,L23-(M23*$E$6)/$E$6))))</f>
        <v/>
      </c>
      <c r="P23" s="4" t="str">
        <f>IF(J23="","",IF(J24="",L23,L23-M24))</f>
        <v/>
      </c>
      <c r="R23" s="7"/>
      <c r="S23" s="6" t="str">
        <f>IF(R23="","",(10^R23)*1000000)</f>
        <v/>
      </c>
      <c r="T23" s="5" t="str">
        <f>IF(R23="","",IF(R24="",CEILING($U$11*$U$15,1),CEILING($U$11*$U$15+(T24*S24)/S23,1)))</f>
        <v/>
      </c>
      <c r="U23" s="4" t="str">
        <f>IF(R23="","",(T23*S23)/S22)</f>
        <v/>
      </c>
      <c r="V23" s="4" t="str">
        <f>IF(R23="","",(T23-U23)-W23)</f>
        <v/>
      </c>
      <c r="W23" s="4" t="str">
        <f>IF(R23="","",IF($E$6=0,0,MAX(0,MIN(T23-U23,T23-(U23*$E$6)/$E$6))))</f>
        <v/>
      </c>
      <c r="X23" s="4" t="str">
        <f>IF(R23="","",IF(R24="",T23,T23-U24))</f>
        <v/>
      </c>
      <c r="Z23" s="7"/>
      <c r="AA23" s="6" t="str">
        <f>IF(Z23="","",(10^Z23)*1000000)</f>
        <v/>
      </c>
      <c r="AB23" s="5" t="str">
        <f>IF(Z23="","",IF(Z24="",CEILING($AC$11*$AC$15,1),CEILING($AC$11*$AC$15+(AB24*AA24)/AA23,1)))</f>
        <v/>
      </c>
      <c r="AC23" s="4" t="str">
        <f>IF(Z23="","",(AB23*AA23)/AA22)</f>
        <v/>
      </c>
      <c r="AD23" s="4" t="str">
        <f>IF(Z23="","",(AB23-AC23)-AE23)</f>
        <v/>
      </c>
      <c r="AE23" s="4" t="str">
        <f>IF(Z23="","",IF($E$6=0,0,MAX(0,MIN(AB23-AC23,AB23-(AC23*$E$6)/$E$6))))</f>
        <v/>
      </c>
      <c r="AF23" s="4" t="str">
        <f>IF(Z23="","",IF(Z24="",AB23,AB23-AC24))</f>
        <v/>
      </c>
      <c r="AH23" s="7"/>
      <c r="AI23" s="6" t="str">
        <f>IF(AH23="","",(10^AH23)*1000000)</f>
        <v/>
      </c>
      <c r="AJ23" s="5" t="str">
        <f>IF(AH23="","",IF(AH24="",CEILING($AK$11*$AK$15,1),CEILING($AK$11*$AK$15+(AJ24*AI24)/AI23,1)))</f>
        <v/>
      </c>
      <c r="AK23" s="4" t="str">
        <f>IF(AH23="","",(AJ23*AI23)/AI22)</f>
        <v/>
      </c>
      <c r="AL23" s="4" t="str">
        <f>IF(AH23="","",(AJ23-AK23)-AM23)</f>
        <v/>
      </c>
      <c r="AM23" s="4" t="str">
        <f>IF(AH23="","",IF($E$6=0,0,MAX(0,MIN(AJ23-AK23,AJ23-(AK23*$E$6)/$E$6))))</f>
        <v/>
      </c>
      <c r="AN23" s="4" t="str">
        <f>IF(AH23="","",IF(AH24="",AJ23,AJ23-AK24))</f>
        <v/>
      </c>
      <c r="AP23" s="7"/>
      <c r="AQ23" s="6" t="str">
        <f>IF(AP23="","",(10^AP23)*1000000)</f>
        <v/>
      </c>
      <c r="AR23" s="5" t="str">
        <f>IF(AP23="","",IF(AP24="",CEILING($AS$11*$AS$15,1),CEILING($AS$11*$AS$15+(AR24*AQ24)/AQ23,1)))</f>
        <v/>
      </c>
      <c r="AS23" s="4" t="str">
        <f>IF(AP23="","",(AR23*AQ23)/AQ22)</f>
        <v/>
      </c>
      <c r="AT23" s="4" t="str">
        <f>IF(AP23="","",(AR23-AS23)-AU23)</f>
        <v/>
      </c>
      <c r="AU23" s="4" t="str">
        <f>IF(AP23="","",IF($E$6=0,0,MAX(0,MIN(AR23-AS23,AR23-(AS23*$E$6)/$E$6))))</f>
        <v/>
      </c>
      <c r="AV23" s="4" t="str">
        <f>IF(AP23="","",IF(AP24="",AR23,AR23-AS24))</f>
        <v/>
      </c>
    </row>
    <row r="24" spans="2:48" x14ac:dyDescent="0.2">
      <c r="B24" s="7"/>
      <c r="C24" s="6" t="str">
        <f>IF(B24="","",(10^B24)*1000000)</f>
        <v/>
      </c>
      <c r="D24" s="5" t="str">
        <f>IF(B24="","",IF(B25="",CEILING($E$11*$E$15,1),CEILING($E$11*$E$15+(D25*C25)/C24,1)))</f>
        <v/>
      </c>
      <c r="E24" s="4" t="str">
        <f>IF(B24="","",(D24*C24)/C23)</f>
        <v/>
      </c>
      <c r="F24" s="4" t="str">
        <f>IF(B24="","",(D24-E24)-G24)</f>
        <v/>
      </c>
      <c r="G24" s="4" t="str">
        <f>IF(B24="","",IF($E$6=0,0,MAX(0,MIN(D24-E24,D24-(E24*$E$6)/$E$6))))</f>
        <v/>
      </c>
      <c r="H24" s="4" t="str">
        <f>IF(B24="","",IF(B25="",D24,D24-E25))</f>
        <v/>
      </c>
      <c r="J24" s="7"/>
      <c r="K24" s="6" t="str">
        <f>IF(J24="","",(10^J24)*1000000)</f>
        <v/>
      </c>
      <c r="L24" s="5" t="str">
        <f>IF(J24="","",IF(J25="",CEILING($M$11*$M$15,1),CEILING($M$11*$M$15+(L25*K25)/K24,1)))</f>
        <v/>
      </c>
      <c r="M24" s="4" t="str">
        <f>IF(J24="","",(L24*K24)/K23)</f>
        <v/>
      </c>
      <c r="N24" s="4" t="str">
        <f>IF(J24="","",(L24-M24)-O24)</f>
        <v/>
      </c>
      <c r="O24" s="4" t="str">
        <f>IF(J24="","",IF($E$6=0,0,MAX(0,MIN(L24-M24,L24-(M24*$E$6)/$E$6))))</f>
        <v/>
      </c>
      <c r="P24" s="4" t="str">
        <f>IF(J24="","",IF(J25="",L24,L24-M25))</f>
        <v/>
      </c>
      <c r="R24" s="7"/>
      <c r="S24" s="6" t="str">
        <f>IF(R24="","",(10^R24)*1000000)</f>
        <v/>
      </c>
      <c r="T24" s="5" t="str">
        <f>IF(R24="","",IF(R25="",CEILING($U$11*$U$15,1),CEILING($U$11*$U$15+(T25*S25)/S24,1)))</f>
        <v/>
      </c>
      <c r="U24" s="4" t="str">
        <f>IF(R24="","",(T24*S24)/S23)</f>
        <v/>
      </c>
      <c r="V24" s="4" t="str">
        <f>IF(R24="","",(T24-U24)-W24)</f>
        <v/>
      </c>
      <c r="W24" s="4" t="str">
        <f>IF(R24="","",IF($E$6=0,0,MAX(0,MIN(T24-U24,T24-(U24*$E$6)/$E$6))))</f>
        <v/>
      </c>
      <c r="X24" s="4" t="str">
        <f>IF(R24="","",IF(R25="",T24,T24-U25))</f>
        <v/>
      </c>
      <c r="Z24" s="7"/>
      <c r="AA24" s="6" t="str">
        <f>IF(Z24="","",(10^Z24)*1000000)</f>
        <v/>
      </c>
      <c r="AB24" s="5" t="str">
        <f>IF(Z24="","",IF(Z25="",CEILING($AC$11*$AC$15,1),CEILING($AC$11*$AC$15+(AB25*AA25)/AA24,1)))</f>
        <v/>
      </c>
      <c r="AC24" s="4" t="str">
        <f>IF(Z24="","",(AB24*AA24)/AA23)</f>
        <v/>
      </c>
      <c r="AD24" s="4" t="str">
        <f>IF(Z24="","",(AB24-AC24)-AE24)</f>
        <v/>
      </c>
      <c r="AE24" s="4" t="str">
        <f>IF(Z24="","",IF($E$6=0,0,MAX(0,MIN(AB24-AC24,AB24-(AC24*$E$6)/$E$6))))</f>
        <v/>
      </c>
      <c r="AF24" s="4" t="str">
        <f>IF(Z24="","",IF(Z25="",AB24,AB24-AC25))</f>
        <v/>
      </c>
      <c r="AH24" s="7"/>
      <c r="AI24" s="6" t="str">
        <f>IF(AH24="","",(10^AH24)*1000000)</f>
        <v/>
      </c>
      <c r="AJ24" s="5" t="str">
        <f>IF(AH24="","",IF(AH25="",CEILING($AK$11*$AK$15,1),CEILING($AK$11*$AK$15+(AJ25*AI25)/AI24,1)))</f>
        <v/>
      </c>
      <c r="AK24" s="4" t="str">
        <f>IF(AH24="","",(AJ24*AI24)/AI23)</f>
        <v/>
      </c>
      <c r="AL24" s="4" t="str">
        <f>IF(AH24="","",(AJ24-AK24)-AM24)</f>
        <v/>
      </c>
      <c r="AM24" s="4" t="str">
        <f>IF(AH24="","",IF($E$6=0,0,MAX(0,MIN(AJ24-AK24,AJ24-(AK24*$E$6)/$E$6))))</f>
        <v/>
      </c>
      <c r="AN24" s="4" t="str">
        <f>IF(AH24="","",IF(AH25="",AJ24,AJ24-AK25))</f>
        <v/>
      </c>
      <c r="AP24" s="7"/>
      <c r="AQ24" s="6" t="str">
        <f>IF(AP24="","",(10^AP24)*1000000)</f>
        <v/>
      </c>
      <c r="AR24" s="5" t="str">
        <f>IF(AP24="","",IF(AP25="",CEILING($AS$11*$AS$15,1),CEILING($AS$11*$AS$15+(AR25*AQ25)/AQ24,1)))</f>
        <v/>
      </c>
      <c r="AS24" s="4" t="str">
        <f>IF(AP24="","",(AR24*AQ24)/AQ23)</f>
        <v/>
      </c>
      <c r="AT24" s="4" t="str">
        <f>IF(AP24="","",(AR24-AS24)-AU24)</f>
        <v/>
      </c>
      <c r="AU24" s="4" t="str">
        <f>IF(AP24="","",IF($E$6=0,0,MAX(0,MIN(AR24-AS24,AR24-(AS24*$E$6)/$E$6))))</f>
        <v/>
      </c>
      <c r="AV24" s="4" t="str">
        <f>IF(AP24="","",IF(AP25="",AR24,AR24-AS25))</f>
        <v/>
      </c>
    </row>
    <row r="25" spans="2:48" x14ac:dyDescent="0.2">
      <c r="B25" s="7"/>
      <c r="C25" s="6" t="str">
        <f>IF(B25="","",(10^B25)*1000000)</f>
        <v/>
      </c>
      <c r="D25" s="5" t="str">
        <f>IF(B25="","",IF(B26="",CEILING($E$11*$E$15,1),CEILING($E$11*$E$15+(D26*C26)/C25,1)))</f>
        <v/>
      </c>
      <c r="E25" s="4" t="str">
        <f>IF(B25="","",(D25*C25)/C24)</f>
        <v/>
      </c>
      <c r="F25" s="4" t="str">
        <f>IF(B25="","",(D25-E25)-G25)</f>
        <v/>
      </c>
      <c r="G25" s="4" t="str">
        <f>IF(B25="","",IF($E$6=0,0,MAX(0,MIN(D25-E25,D25-(E25*$E$6)/$E$6))))</f>
        <v/>
      </c>
      <c r="H25" s="4" t="str">
        <f>IF(B25="","",IF(B26="",D25,D25-E26))</f>
        <v/>
      </c>
      <c r="J25" s="7"/>
      <c r="K25" s="6" t="str">
        <f>IF(J25="","",(10^J25)*1000000)</f>
        <v/>
      </c>
      <c r="L25" s="5" t="str">
        <f>IF(J25="","",IF(J26="",CEILING($M$11*$M$15,1),CEILING($M$11*$M$15+(L26*K26)/K25,1)))</f>
        <v/>
      </c>
      <c r="M25" s="4" t="str">
        <f>IF(J25="","",(L25*K25)/K24)</f>
        <v/>
      </c>
      <c r="N25" s="4" t="str">
        <f>IF(J25="","",(L25-M25)-O25)</f>
        <v/>
      </c>
      <c r="O25" s="4" t="str">
        <f>IF(J25="","",IF($E$6=0,0,MAX(0,MIN(L25-M25,L25-(M25*$E$6)/$E$6))))</f>
        <v/>
      </c>
      <c r="P25" s="4" t="str">
        <f>IF(J25="","",IF(J26="",L25,L25-M26))</f>
        <v/>
      </c>
      <c r="R25" s="7"/>
      <c r="S25" s="6" t="str">
        <f>IF(R25="","",(10^R25)*1000000)</f>
        <v/>
      </c>
      <c r="T25" s="5" t="str">
        <f>IF(R25="","",IF(R26="",CEILING($U$11*$U$15,1),CEILING($U$11*$U$15+(T26*S26)/S25,1)))</f>
        <v/>
      </c>
      <c r="U25" s="4" t="str">
        <f>IF(R25="","",(T25*S25)/S24)</f>
        <v/>
      </c>
      <c r="V25" s="4" t="str">
        <f>IF(R25="","",(T25-U25)-W25)</f>
        <v/>
      </c>
      <c r="W25" s="4" t="str">
        <f>IF(R25="","",IF($E$6=0,0,MAX(0,MIN(T25-U25,T25-(U25*$E$6)/$E$6))))</f>
        <v/>
      </c>
      <c r="X25" s="4" t="str">
        <f>IF(R25="","",IF(R26="",T25,T25-U26))</f>
        <v/>
      </c>
      <c r="Z25" s="7"/>
      <c r="AA25" s="6" t="str">
        <f>IF(Z25="","",(10^Z25)*1000000)</f>
        <v/>
      </c>
      <c r="AB25" s="5" t="str">
        <f>IF(Z25="","",IF(Z26="",CEILING($AC$11*$AC$15,1),CEILING($AC$11*$AC$15+(AB26*AA26)/AA25,1)))</f>
        <v/>
      </c>
      <c r="AC25" s="4" t="str">
        <f>IF(Z25="","",(AB25*AA25)/AA24)</f>
        <v/>
      </c>
      <c r="AD25" s="4" t="str">
        <f>IF(Z25="","",(AB25-AC25)-AE25)</f>
        <v/>
      </c>
      <c r="AE25" s="4" t="str">
        <f>IF(Z25="","",IF($E$6=0,0,MAX(0,MIN(AB25-AC25,AB25-(AC25*$E$6)/$E$6))))</f>
        <v/>
      </c>
      <c r="AF25" s="4" t="str">
        <f>IF(Z25="","",IF(Z26="",AB25,AB25-AC26))</f>
        <v/>
      </c>
      <c r="AH25" s="7"/>
      <c r="AI25" s="6" t="str">
        <f>IF(AH25="","",(10^AH25)*1000000)</f>
        <v/>
      </c>
      <c r="AJ25" s="5" t="str">
        <f>IF(AH25="","",IF(AH26="",CEILING($AK$11*$AK$15,1),CEILING($AK$11*$AK$15+(AJ26*AI26)/AI25,1)))</f>
        <v/>
      </c>
      <c r="AK25" s="4" t="str">
        <f>IF(AH25="","",(AJ25*AI25)/AI24)</f>
        <v/>
      </c>
      <c r="AL25" s="4" t="str">
        <f>IF(AH25="","",(AJ25-AK25)-AM25)</f>
        <v/>
      </c>
      <c r="AM25" s="4" t="str">
        <f>IF(AH25="","",IF($E$6=0,0,MAX(0,MIN(AJ25-AK25,AJ25-(AK25*$E$6)/$E$6))))</f>
        <v/>
      </c>
      <c r="AN25" s="4" t="str">
        <f>IF(AH25="","",IF(AH26="",AJ25,AJ25-AK26))</f>
        <v/>
      </c>
      <c r="AP25" s="7"/>
      <c r="AQ25" s="6" t="str">
        <f>IF(AP25="","",(10^AP25)*1000000)</f>
        <v/>
      </c>
      <c r="AR25" s="5" t="str">
        <f>IF(AP25="","",IF(AP26="",CEILING($AS$11*$AS$15,1),CEILING($AS$11*$AS$15+(AR26*AQ26)/AQ25,1)))</f>
        <v/>
      </c>
      <c r="AS25" s="4" t="str">
        <f>IF(AP25="","",(AR25*AQ25)/AQ24)</f>
        <v/>
      </c>
      <c r="AT25" s="4" t="str">
        <f>IF(AP25="","",(AR25-AS25)-AU25)</f>
        <v/>
      </c>
      <c r="AU25" s="4" t="str">
        <f>IF(AP25="","",IF($E$6=0,0,MAX(0,MIN(AR25-AS25,AR25-(AS25*$E$6)/$E$6))))</f>
        <v/>
      </c>
      <c r="AV25" s="4" t="str">
        <f>IF(AP25="","",IF(AP26="",AR25,AR25-AS26))</f>
        <v/>
      </c>
    </row>
    <row r="26" spans="2:48" x14ac:dyDescent="0.2">
      <c r="B26" s="7"/>
      <c r="C26" s="6" t="str">
        <f>IF(B26="","",(10^B26)*1000000)</f>
        <v/>
      </c>
      <c r="D26" s="5" t="str">
        <f>IF(B26="","",IF(B27="",CEILING($E$11*$E$15,1),CEILING($E$11*$E$15+(D27*C27)/C26,1)))</f>
        <v/>
      </c>
      <c r="E26" s="4" t="str">
        <f>IF(B26="","",(D26*C26)/C25)</f>
        <v/>
      </c>
      <c r="F26" s="4" t="str">
        <f>IF(B26="","",(D26-E26)-G26)</f>
        <v/>
      </c>
      <c r="G26" s="4" t="str">
        <f>IF(B26="","",IF($E$6=0,0,MAX(0,MIN(D26-E26,D26-(E26*$E$6)/$E$6))))</f>
        <v/>
      </c>
      <c r="H26" s="4" t="str">
        <f>IF(B26="","",IF(B27="",D26,D26-E27))</f>
        <v/>
      </c>
      <c r="J26" s="7"/>
      <c r="K26" s="6" t="str">
        <f>IF(J26="","",(10^J26)*1000000)</f>
        <v/>
      </c>
      <c r="L26" s="5" t="str">
        <f>IF(J26="","",IF(J27="",CEILING($M$11*$M$15,1),CEILING($M$11*$M$15+(L27*K27)/K26,1)))</f>
        <v/>
      </c>
      <c r="M26" s="4" t="str">
        <f>IF(J26="","",(L26*K26)/K25)</f>
        <v/>
      </c>
      <c r="N26" s="4" t="str">
        <f>IF(J26="","",(L26-M26)-O26)</f>
        <v/>
      </c>
      <c r="O26" s="4" t="str">
        <f>IF(J26="","",IF($E$6=0,0,MAX(0,MIN(L26-M26,L26-(M26*$E$6)/$E$6))))</f>
        <v/>
      </c>
      <c r="P26" s="4" t="str">
        <f>IF(J26="","",IF(J27="",L26,L26-M27))</f>
        <v/>
      </c>
      <c r="R26" s="7"/>
      <c r="S26" s="6" t="str">
        <f>IF(R26="","",(10^R26)*1000000)</f>
        <v/>
      </c>
      <c r="T26" s="5" t="str">
        <f>IF(R26="","",IF(R27="",CEILING($U$11*$U$15,1),CEILING($U$11*$U$15+(T27*S27)/S26,1)))</f>
        <v/>
      </c>
      <c r="U26" s="4" t="str">
        <f>IF(R26="","",(T26*S26)/S25)</f>
        <v/>
      </c>
      <c r="V26" s="4" t="str">
        <f>IF(R26="","",(T26-U26)-W26)</f>
        <v/>
      </c>
      <c r="W26" s="4" t="str">
        <f>IF(R26="","",IF($E$6=0,0,MAX(0,MIN(T26-U26,T26-(U26*$E$6)/$E$6))))</f>
        <v/>
      </c>
      <c r="X26" s="4" t="str">
        <f>IF(R26="","",IF(R27="",T26,T26-U27))</f>
        <v/>
      </c>
      <c r="Z26" s="7"/>
      <c r="AA26" s="6" t="str">
        <f>IF(Z26="","",(10^Z26)*1000000)</f>
        <v/>
      </c>
      <c r="AB26" s="5" t="str">
        <f>IF(Z26="","",IF(Z27="",CEILING($AC$11*$AC$15,1),CEILING($AC$11*$AC$15+(AB27*AA27)/AA26,1)))</f>
        <v/>
      </c>
      <c r="AC26" s="4" t="str">
        <f>IF(Z26="","",(AB26*AA26)/AA25)</f>
        <v/>
      </c>
      <c r="AD26" s="4" t="str">
        <f>IF(Z26="","",(AB26-AC26)-AE26)</f>
        <v/>
      </c>
      <c r="AE26" s="4" t="str">
        <f>IF(Z26="","",IF($E$6=0,0,MAX(0,MIN(AB26-AC26,AB26-(AC26*$E$6)/$E$6))))</f>
        <v/>
      </c>
      <c r="AF26" s="4" t="str">
        <f>IF(Z26="","",IF(Z27="",AB26,AB26-AC27))</f>
        <v/>
      </c>
      <c r="AH26" s="7"/>
      <c r="AI26" s="6" t="str">
        <f>IF(AH26="","",(10^AH26)*1000000)</f>
        <v/>
      </c>
      <c r="AJ26" s="5" t="str">
        <f>IF(AH26="","",IF(AH27="",CEILING($AK$11*$AK$15,1),CEILING($AK$11*$AK$15+(AJ27*AI27)/AI26,1)))</f>
        <v/>
      </c>
      <c r="AK26" s="4" t="str">
        <f>IF(AH26="","",(AJ26*AI26)/AI25)</f>
        <v/>
      </c>
      <c r="AL26" s="4" t="str">
        <f>IF(AH26="","",(AJ26-AK26)-AM26)</f>
        <v/>
      </c>
      <c r="AM26" s="4" t="str">
        <f>IF(AH26="","",IF($E$6=0,0,MAX(0,MIN(AJ26-AK26,AJ26-(AK26*$E$6)/$E$6))))</f>
        <v/>
      </c>
      <c r="AN26" s="4" t="str">
        <f>IF(AH26="","",IF(AH27="",AJ26,AJ26-AK27))</f>
        <v/>
      </c>
      <c r="AP26" s="7"/>
      <c r="AQ26" s="6" t="str">
        <f>IF(AP26="","",(10^AP26)*1000000)</f>
        <v/>
      </c>
      <c r="AR26" s="5" t="str">
        <f>IF(AP26="","",IF(AP27="",CEILING($AS$11*$AS$15,1),CEILING($AS$11*$AS$15+(AR27*AQ27)/AQ26,1)))</f>
        <v/>
      </c>
      <c r="AS26" s="4" t="str">
        <f>IF(AP26="","",(AR26*AQ26)/AQ25)</f>
        <v/>
      </c>
      <c r="AT26" s="4" t="str">
        <f>IF(AP26="","",(AR26-AS26)-AU26)</f>
        <v/>
      </c>
      <c r="AU26" s="4" t="str">
        <f>IF(AP26="","",IF($E$6=0,0,MAX(0,MIN(AR26-AS26,AR26-(AS26*$E$6)/$E$6))))</f>
        <v/>
      </c>
      <c r="AV26" s="4" t="str">
        <f>IF(AP26="","",IF(AP27="",AR26,AR26-AS27))</f>
        <v/>
      </c>
    </row>
    <row r="27" spans="2:48" x14ac:dyDescent="0.2">
      <c r="B27" s="7"/>
      <c r="C27" s="6" t="str">
        <f>IF(B27="","",(10^B27)*1000000)</f>
        <v/>
      </c>
      <c r="D27" s="5" t="str">
        <f>IF(B27="","",IF(B28="",CEILING($E$11*$E$15,1),CEILING($E$11*$E$15+(D28*C28)/C27,1)))</f>
        <v/>
      </c>
      <c r="E27" s="4" t="str">
        <f>IF(B27="","",(D27*C27)/C26)</f>
        <v/>
      </c>
      <c r="F27" s="4" t="str">
        <f>IF(B27="","",(D27-E27)-G27)</f>
        <v/>
      </c>
      <c r="G27" s="4" t="str">
        <f>IF(B27="","",IF($E$6=0,0,MAX(0,MIN(D27-E27,D27-(E27*$E$6)/$E$6))))</f>
        <v/>
      </c>
      <c r="H27" s="4" t="str">
        <f>IF(B27="","",IF(B28="",D27,D27-E28))</f>
        <v/>
      </c>
      <c r="J27" s="7"/>
      <c r="K27" s="6" t="str">
        <f>IF(J27="","",(10^J27)*1000000)</f>
        <v/>
      </c>
      <c r="L27" s="5" t="str">
        <f>IF(J27="","",IF(J28="",CEILING($M$11*$M$15,1),CEILING($M$11*$M$15+(L28*K28)/K27,1)))</f>
        <v/>
      </c>
      <c r="M27" s="4" t="str">
        <f>IF(J27="","",(L27*K27)/K26)</f>
        <v/>
      </c>
      <c r="N27" s="4" t="str">
        <f>IF(J27="","",(L27-M27)-O27)</f>
        <v/>
      </c>
      <c r="O27" s="4" t="str">
        <f>IF(J27="","",IF($E$6=0,0,MAX(0,MIN(L27-M27,L27-(M27*$E$6)/$E$6))))</f>
        <v/>
      </c>
      <c r="P27" s="4" t="str">
        <f>IF(J27="","",IF(J28="",L27,L27-M28))</f>
        <v/>
      </c>
      <c r="R27" s="7"/>
      <c r="S27" s="6" t="str">
        <f>IF(R27="","",(10^R27)*1000000)</f>
        <v/>
      </c>
      <c r="T27" s="5" t="str">
        <f>IF(R27="","",IF(R28="",CEILING($U$11*$U$15,1),CEILING($U$11*$U$15+(T28*S28)/S27,1)))</f>
        <v/>
      </c>
      <c r="U27" s="4" t="str">
        <f>IF(R27="","",(T27*S27)/S26)</f>
        <v/>
      </c>
      <c r="V27" s="4" t="str">
        <f>IF(R27="","",(T27-U27)-W27)</f>
        <v/>
      </c>
      <c r="W27" s="4" t="str">
        <f>IF(R27="","",IF($E$6=0,0,MAX(0,MIN(T27-U27,T27-(U27*$E$6)/$E$6))))</f>
        <v/>
      </c>
      <c r="X27" s="4" t="str">
        <f>IF(R27="","",IF(R28="",T27,T27-U28))</f>
        <v/>
      </c>
      <c r="Z27" s="7"/>
      <c r="AA27" s="6" t="str">
        <f>IF(Z27="","",(10^Z27)*1000000)</f>
        <v/>
      </c>
      <c r="AB27" s="5" t="str">
        <f>IF(Z27="","",IF(Z28="",CEILING($AC$11*$AC$15,1),CEILING($AC$11*$AC$15+(AB28*AA28)/AA27,1)))</f>
        <v/>
      </c>
      <c r="AC27" s="4" t="str">
        <f>IF(Z27="","",(AB27*AA27)/AA26)</f>
        <v/>
      </c>
      <c r="AD27" s="4" t="str">
        <f>IF(Z27="","",(AB27-AC27)-AE27)</f>
        <v/>
      </c>
      <c r="AE27" s="4" t="str">
        <f>IF(Z27="","",IF($E$6=0,0,MAX(0,MIN(AB27-AC27,AB27-(AC27*$E$6)/$E$6))))</f>
        <v/>
      </c>
      <c r="AF27" s="4" t="str">
        <f>IF(Z27="","",IF(Z28="",AB27,AB27-AC28))</f>
        <v/>
      </c>
      <c r="AH27" s="7"/>
      <c r="AI27" s="6" t="str">
        <f>IF(AH27="","",(10^AH27)*1000000)</f>
        <v/>
      </c>
      <c r="AJ27" s="5" t="str">
        <f>IF(AH27="","",IF(AH28="",CEILING($AK$11*$AK$15,1),CEILING($AK$11*$AK$15+(AJ28*AI28)/AI27,1)))</f>
        <v/>
      </c>
      <c r="AK27" s="4" t="str">
        <f>IF(AH27="","",(AJ27*AI27)/AI26)</f>
        <v/>
      </c>
      <c r="AL27" s="4" t="str">
        <f>IF(AH27="","",(AJ27-AK27)-AM27)</f>
        <v/>
      </c>
      <c r="AM27" s="4" t="str">
        <f>IF(AH27="","",IF($E$6=0,0,MAX(0,MIN(AJ27-AK27,AJ27-(AK27*$E$6)/$E$6))))</f>
        <v/>
      </c>
      <c r="AN27" s="4" t="str">
        <f>IF(AH27="","",IF(AH28="",AJ27,AJ27-AK28))</f>
        <v/>
      </c>
      <c r="AP27" s="7"/>
      <c r="AQ27" s="6" t="str">
        <f>IF(AP27="","",(10^AP27)*1000000)</f>
        <v/>
      </c>
      <c r="AR27" s="5" t="str">
        <f>IF(AP27="","",IF(AP28="",CEILING($AS$11*$AS$15,1),CEILING($AS$11*$AS$15+(AR28*AQ28)/AQ27,1)))</f>
        <v/>
      </c>
      <c r="AS27" s="4" t="str">
        <f>IF(AP27="","",(AR27*AQ27)/AQ26)</f>
        <v/>
      </c>
      <c r="AT27" s="4" t="str">
        <f>IF(AP27="","",(AR27-AS27)-AU27)</f>
        <v/>
      </c>
      <c r="AU27" s="4" t="str">
        <f>IF(AP27="","",IF($E$6=0,0,MAX(0,MIN(AR27-AS27,AR27-(AS27*$E$6)/$E$6))))</f>
        <v/>
      </c>
      <c r="AV27" s="4" t="str">
        <f>IF(AP27="","",IF(AP28="",AR27,AR27-AS28))</f>
        <v/>
      </c>
    </row>
    <row r="28" spans="2:48" x14ac:dyDescent="0.2">
      <c r="B28" s="7"/>
      <c r="C28" s="6" t="str">
        <f>IF(B28="","",(10^B28)*1000000)</f>
        <v/>
      </c>
      <c r="D28" s="5" t="str">
        <f>IF(B28="","",IF(B29="",CEILING($E$11*$E$15,1),CEILING($E$11*$E$15+(D29*C29)/C28,1)))</f>
        <v/>
      </c>
      <c r="E28" s="4" t="str">
        <f>IF(B28="","",(D28*C28)/C27)</f>
        <v/>
      </c>
      <c r="F28" s="4" t="str">
        <f>IF(B28="","",(D28-E28)-G28)</f>
        <v/>
      </c>
      <c r="G28" s="4" t="str">
        <f>IF(B28="","",IF($E$6=0,0,MAX(0,MIN(D28-E28,D28-(E28*$E$6)/$E$6))))</f>
        <v/>
      </c>
      <c r="H28" s="4" t="str">
        <f>IF(B28="","",IF(B29="",D28,D28-E29))</f>
        <v/>
      </c>
      <c r="J28" s="7"/>
      <c r="K28" s="6" t="str">
        <f>IF(J28="","",(10^J28)*1000000)</f>
        <v/>
      </c>
      <c r="L28" s="5" t="str">
        <f>IF(J28="","",IF(J29="",CEILING($M$11*$M$15,1),CEILING($M$11*$M$15+(L29*K29)/K28,1)))</f>
        <v/>
      </c>
      <c r="M28" s="4" t="str">
        <f>IF(J28="","",(L28*K28)/K27)</f>
        <v/>
      </c>
      <c r="N28" s="4" t="str">
        <f>IF(J28="","",(L28-M28)-O28)</f>
        <v/>
      </c>
      <c r="O28" s="4" t="str">
        <f>IF(J28="","",IF($E$6=0,0,MAX(0,MIN(L28-M28,L28-(M28*$E$6)/$E$6))))</f>
        <v/>
      </c>
      <c r="P28" s="4" t="str">
        <f>IF(J28="","",IF(J29="",L28,L28-M29))</f>
        <v/>
      </c>
      <c r="R28" s="7"/>
      <c r="S28" s="6" t="str">
        <f>IF(R28="","",(10^R28)*1000000)</f>
        <v/>
      </c>
      <c r="T28" s="5" t="str">
        <f>IF(R28="","",IF(R29="",CEILING($U$11*$U$15,1),CEILING($U$11*$U$15+(T29*S29)/S28,1)))</f>
        <v/>
      </c>
      <c r="U28" s="4" t="str">
        <f>IF(R28="","",(T28*S28)/S27)</f>
        <v/>
      </c>
      <c r="V28" s="4" t="str">
        <f>IF(R28="","",(T28-U28)-W28)</f>
        <v/>
      </c>
      <c r="W28" s="4" t="str">
        <f>IF(R28="","",IF($E$6=0,0,MAX(0,MIN(T28-U28,T28-(U28*$E$6)/$E$6))))</f>
        <v/>
      </c>
      <c r="X28" s="4" t="str">
        <f>IF(R28="","",IF(R29="",T28,T28-U29))</f>
        <v/>
      </c>
      <c r="Z28" s="7"/>
      <c r="AA28" s="6" t="str">
        <f>IF(Z28="","",(10^Z28)*1000000)</f>
        <v/>
      </c>
      <c r="AB28" s="5" t="str">
        <f>IF(Z28="","",IF(Z29="",CEILING($AC$11*$AC$15,1),CEILING($AC$11*$AC$15+(AB29*AA29)/AA28,1)))</f>
        <v/>
      </c>
      <c r="AC28" s="4" t="str">
        <f>IF(Z28="","",(AB28*AA28)/AA27)</f>
        <v/>
      </c>
      <c r="AD28" s="4" t="str">
        <f>IF(Z28="","",(AB28-AC28)-AE28)</f>
        <v/>
      </c>
      <c r="AE28" s="4" t="str">
        <f>IF(Z28="","",IF($E$6=0,0,MAX(0,MIN(AB28-AC28,AB28-(AC28*$E$6)/$E$6))))</f>
        <v/>
      </c>
      <c r="AF28" s="4" t="str">
        <f>IF(Z28="","",IF(Z29="",AB28,AB28-AC29))</f>
        <v/>
      </c>
      <c r="AH28" s="7"/>
      <c r="AI28" s="6" t="str">
        <f>IF(AH28="","",(10^AH28)*1000000)</f>
        <v/>
      </c>
      <c r="AJ28" s="5" t="str">
        <f>IF(AH28="","",IF(AH29="",CEILING($AK$11*$AK$15,1),CEILING($AK$11*$AK$15+(AJ29*AI29)/AI28,1)))</f>
        <v/>
      </c>
      <c r="AK28" s="4" t="str">
        <f>IF(AH28="","",(AJ28*AI28)/AI27)</f>
        <v/>
      </c>
      <c r="AL28" s="4" t="str">
        <f>IF(AH28="","",(AJ28-AK28)-AM28)</f>
        <v/>
      </c>
      <c r="AM28" s="4" t="str">
        <f>IF(AH28="","",IF($E$6=0,0,MAX(0,MIN(AJ28-AK28,AJ28-(AK28*$E$6)/$E$6))))</f>
        <v/>
      </c>
      <c r="AN28" s="4" t="str">
        <f>IF(AH28="","",IF(AH29="",AJ28,AJ28-AK29))</f>
        <v/>
      </c>
      <c r="AP28" s="7"/>
      <c r="AQ28" s="6" t="str">
        <f>IF(AP28="","",(10^AP28)*1000000)</f>
        <v/>
      </c>
      <c r="AR28" s="5" t="str">
        <f>IF(AP28="","",IF(AP29="",CEILING($AS$11*$AS$15,1),CEILING($AS$11*$AS$15+(AR29*AQ29)/AQ28,1)))</f>
        <v/>
      </c>
      <c r="AS28" s="4" t="str">
        <f>IF(AP28="","",(AR28*AQ28)/AQ27)</f>
        <v/>
      </c>
      <c r="AT28" s="4" t="str">
        <f>IF(AP28="","",(AR28-AS28)-AU28)</f>
        <v/>
      </c>
      <c r="AU28" s="4" t="str">
        <f>IF(AP28="","",IF($E$6=0,0,MAX(0,MIN(AR28-AS28,AR28-(AS28*$E$6)/$E$6))))</f>
        <v/>
      </c>
      <c r="AV28" s="4" t="str">
        <f>IF(AP28="","",IF(AP29="",AR28,AR28-AS29))</f>
        <v/>
      </c>
    </row>
    <row r="29" spans="2:48" x14ac:dyDescent="0.2">
      <c r="B29" s="7"/>
      <c r="C29" s="6" t="str">
        <f>IF(B29="","",(10^B29)*1000000)</f>
        <v/>
      </c>
      <c r="D29" s="5" t="str">
        <f>IF(B29="","",CEILING($E$11*$E$15,1))</f>
        <v/>
      </c>
      <c r="E29" s="4" t="str">
        <f>IF(B29="","",(D29*C29)/C28)</f>
        <v/>
      </c>
      <c r="F29" s="4" t="str">
        <f>IF(B29="","",(D29-E29)-G29)</f>
        <v/>
      </c>
      <c r="G29" s="4" t="str">
        <f>IF(B29="","",IF($E$6=0,0,MAX(0,MIN(D29-E29,D29-(E29*$E$6)/$E$6))))</f>
        <v/>
      </c>
      <c r="H29" s="4" t="str">
        <f>IF(B29="","",D29)</f>
        <v/>
      </c>
      <c r="J29" s="7"/>
      <c r="K29" s="6" t="str">
        <f>IF(J29="","",(10^J29)*1000000)</f>
        <v/>
      </c>
      <c r="L29" s="5" t="str">
        <f>IF(J29="","",CEILING($M$11*$M$15,1))</f>
        <v/>
      </c>
      <c r="M29" s="4" t="str">
        <f>IF(J29="","",(L29*K29)/K28)</f>
        <v/>
      </c>
      <c r="N29" s="4" t="str">
        <f>IF(J29="","",(L29-M29)-O29)</f>
        <v/>
      </c>
      <c r="O29" s="4" t="str">
        <f>IF(J29="","",IF($E$6=0,0,MAX(0,MIN(L29-M29,L29-(M29*$E$6)/$E$6))))</f>
        <v/>
      </c>
      <c r="P29" s="4" t="str">
        <f>IF(J29="","",L29)</f>
        <v/>
      </c>
      <c r="R29" s="7"/>
      <c r="S29" s="6" t="str">
        <f>IF(R29="","",(10^R29)*1000000)</f>
        <v/>
      </c>
      <c r="T29" s="5" t="str">
        <f>IF(R29="","",CEILING($U$11*$U$15,1))</f>
        <v/>
      </c>
      <c r="U29" s="4" t="str">
        <f>IF(R29="","",(T29*S29)/S28)</f>
        <v/>
      </c>
      <c r="V29" s="4" t="str">
        <f>IF(R29="","",(T29-U29)-W29)</f>
        <v/>
      </c>
      <c r="W29" s="4" t="str">
        <f>IF(R29="","",IF($E$6=0,0,MAX(0,MIN(T29-U29,T29-(U29*$E$6)/$E$6))))</f>
        <v/>
      </c>
      <c r="X29" s="4" t="str">
        <f>IF(R29="","",T29)</f>
        <v/>
      </c>
      <c r="Z29" s="7"/>
      <c r="AA29" s="6" t="str">
        <f>IF(Z29="","",(10^Z29)*1000000)</f>
        <v/>
      </c>
      <c r="AB29" s="5" t="str">
        <f>IF(Z29="","",CEILING($AC$11*$AC$15,1))</f>
        <v/>
      </c>
      <c r="AC29" s="4" t="str">
        <f>IF(Z29="","",(AB29*AA29)/AA28)</f>
        <v/>
      </c>
      <c r="AD29" s="4" t="str">
        <f>IF(Z29="","",(AB29-AC29)-AE29)</f>
        <v/>
      </c>
      <c r="AE29" s="4" t="str">
        <f>IF(Z29="","",IF($E$6=0,0,MAX(0,MIN(AB29-AC29,AB29-(AC29*$E$6)/$E$6))))</f>
        <v/>
      </c>
      <c r="AF29" s="4" t="str">
        <f>IF(Z29="","",AB29)</f>
        <v/>
      </c>
      <c r="AH29" s="7"/>
      <c r="AI29" s="6" t="str">
        <f>IF(AH29="","",(10^AH29)*1000000)</f>
        <v/>
      </c>
      <c r="AJ29" s="5" t="str">
        <f>IF(AH29="","",CEILING($AK$11*$AK$15,1))</f>
        <v/>
      </c>
      <c r="AK29" s="4" t="str">
        <f>IF(AH29="","",(AJ29*AI29)/AI28)</f>
        <v/>
      </c>
      <c r="AL29" s="4" t="str">
        <f>IF(AH29="","",(AJ29-AK29)-AM29)</f>
        <v/>
      </c>
      <c r="AM29" s="4" t="str">
        <f>IF(AH29="","",IF($E$6=0,0,MAX(0,MIN(AJ29-AK29,AJ29-(AK29*$E$6)/$E$6))))</f>
        <v/>
      </c>
      <c r="AN29" s="4" t="str">
        <f>IF(AH29="","",AJ29)</f>
        <v/>
      </c>
      <c r="AP29" s="7"/>
      <c r="AQ29" s="6" t="str">
        <f>IF(AP29="","",(10^AP29)*1000000)</f>
        <v/>
      </c>
      <c r="AR29" s="5" t="str">
        <f>IF(AP29="","",CEILING($AS$11*$AS$15,1))</f>
        <v/>
      </c>
      <c r="AS29" s="4" t="str">
        <f>IF(AP29="","",(AR29*AQ29)/AQ28)</f>
        <v/>
      </c>
      <c r="AT29" s="4" t="str">
        <f>IF(AP29="","",(AR29-AS29)-AU29)</f>
        <v/>
      </c>
      <c r="AU29" s="4" t="str">
        <f>IF(AP29="","",IF($E$6=0,0,MAX(0,MIN(AR29-AS29,AR29-(AS29*$E$6)/$E$6))))</f>
        <v/>
      </c>
      <c r="AV29" s="4" t="str">
        <f>IF(AP29="","",AR29)</f>
        <v/>
      </c>
    </row>
    <row r="30" spans="2:48" x14ac:dyDescent="0.2">
      <c r="B30" s="3" t="s">
        <v>2</v>
      </c>
      <c r="C30" s="3"/>
      <c r="D30" s="3"/>
      <c r="E30" s="3"/>
      <c r="F30" s="2">
        <f>IF(COUNT(B18:B29)=0,"",SUM(F18:F29))</f>
        <v>0</v>
      </c>
      <c r="J30" s="3" t="s">
        <v>2</v>
      </c>
      <c r="K30" s="3"/>
      <c r="L30" s="3"/>
      <c r="M30" s="3"/>
      <c r="N30" s="2">
        <f>IF(COUNT(J18:J29)=0,"",SUM(N18:N29))</f>
        <v>199.6</v>
      </c>
      <c r="R30" s="3" t="s">
        <v>2</v>
      </c>
      <c r="S30" s="3"/>
      <c r="T30" s="3"/>
      <c r="U30" s="3"/>
      <c r="V30" s="2">
        <f>IF(COUNT(R18:R29)=0,"",SUM(V18:V29))</f>
        <v>199.6</v>
      </c>
      <c r="Z30" s="3" t="s">
        <v>2</v>
      </c>
      <c r="AA30" s="3"/>
      <c r="AB30" s="3"/>
      <c r="AC30" s="3"/>
      <c r="AD30" s="2" t="str">
        <f>IF(COUNT(Z18:Z29)=0,"",SUM(AD18:AD29))</f>
        <v/>
      </c>
      <c r="AH30" s="3" t="s">
        <v>2</v>
      </c>
      <c r="AI30" s="3"/>
      <c r="AJ30" s="3"/>
      <c r="AK30" s="3"/>
      <c r="AL30" s="2" t="str">
        <f>IF(COUNT(AH18:AH29)=0,"",SUM(AL18:AL29))</f>
        <v/>
      </c>
      <c r="AP30" s="3" t="s">
        <v>2</v>
      </c>
      <c r="AQ30" s="3"/>
      <c r="AR30" s="3"/>
      <c r="AS30" s="3"/>
      <c r="AT30" s="2" t="str">
        <f>IF(COUNT(AP18:AP29)=0,"",SUM(AT18:AT29))</f>
        <v/>
      </c>
    </row>
    <row r="31" spans="2:48" x14ac:dyDescent="0.2">
      <c r="B31" s="3" t="s">
        <v>1</v>
      </c>
      <c r="C31" s="3"/>
      <c r="D31" s="3"/>
      <c r="E31" s="3"/>
      <c r="F31" s="3"/>
      <c r="G31" s="2">
        <f>IF(COUNT(B18:B29)=0,"",SUM(G18:G29))</f>
        <v>199.6</v>
      </c>
      <c r="J31" s="3" t="s">
        <v>1</v>
      </c>
      <c r="K31" s="3"/>
      <c r="L31" s="3"/>
      <c r="M31" s="3"/>
      <c r="N31" s="3"/>
      <c r="O31" s="2">
        <f>IF(COUNT(J18:J29)=0,"",SUM(O18:O29))</f>
        <v>0</v>
      </c>
      <c r="R31" s="3" t="s">
        <v>1</v>
      </c>
      <c r="S31" s="3"/>
      <c r="T31" s="3"/>
      <c r="U31" s="3"/>
      <c r="V31" s="3"/>
      <c r="W31" s="2">
        <f>IF(COUNT(R18:R29)=0,"",SUM(W18:W29))</f>
        <v>0</v>
      </c>
      <c r="Z31" s="3" t="s">
        <v>1</v>
      </c>
      <c r="AA31" s="3"/>
      <c r="AB31" s="3"/>
      <c r="AC31" s="3"/>
      <c r="AD31" s="3"/>
      <c r="AE31" s="2" t="str">
        <f>IF(COUNT(Z18:Z29)=0,"",SUM(AE18:AE29))</f>
        <v/>
      </c>
      <c r="AH31" s="3" t="s">
        <v>1</v>
      </c>
      <c r="AI31" s="3"/>
      <c r="AJ31" s="3"/>
      <c r="AK31" s="3"/>
      <c r="AL31" s="3"/>
      <c r="AM31" s="2" t="str">
        <f>IF(COUNT(AH18:AH29)=0,"",SUM(AM18:AM29))</f>
        <v/>
      </c>
      <c r="AP31" s="3" t="s">
        <v>1</v>
      </c>
      <c r="AQ31" s="3"/>
      <c r="AR31" s="3"/>
      <c r="AS31" s="3"/>
      <c r="AT31" s="3"/>
      <c r="AU31" s="2" t="str">
        <f>IF(COUNT(AP18:AP29)=0,"",SUM(AU18:AU29))</f>
        <v/>
      </c>
    </row>
    <row r="32" spans="2:48" x14ac:dyDescent="0.2">
      <c r="B32" s="3" t="s">
        <v>0</v>
      </c>
      <c r="C32" s="3"/>
      <c r="D32" s="3"/>
      <c r="E32" s="2">
        <f>IF(E18="","",E18)</f>
        <v>0.4</v>
      </c>
      <c r="J32" s="3" t="s">
        <v>0</v>
      </c>
      <c r="K32" s="3"/>
      <c r="L32" s="3"/>
      <c r="M32" s="2">
        <f>IF(M18="","",M18)</f>
        <v>0.4</v>
      </c>
      <c r="R32" s="3" t="s">
        <v>0</v>
      </c>
      <c r="S32" s="3"/>
      <c r="T32" s="3"/>
      <c r="U32" s="2">
        <f>IF(U18="","",U18)</f>
        <v>0.4</v>
      </c>
      <c r="Z32" s="3" t="s">
        <v>0</v>
      </c>
      <c r="AA32" s="3"/>
      <c r="AB32" s="3"/>
      <c r="AC32" s="2" t="str">
        <f>IF(AC18="","",AC18)</f>
        <v/>
      </c>
      <c r="AH32" s="3" t="s">
        <v>0</v>
      </c>
      <c r="AI32" s="3"/>
      <c r="AJ32" s="3"/>
      <c r="AK32" s="2" t="str">
        <f>IF(AK18="","",AK18)</f>
        <v/>
      </c>
      <c r="AP32" s="3" t="s">
        <v>0</v>
      </c>
      <c r="AQ32" s="3"/>
      <c r="AR32" s="3"/>
      <c r="AS32" s="2" t="str">
        <f>IF(AS18="","",AS18)</f>
        <v/>
      </c>
    </row>
  </sheetData>
  <mergeCells count="107">
    <mergeCell ref="AP31:AT31"/>
    <mergeCell ref="AP32:AR32"/>
    <mergeCell ref="B30:E30"/>
    <mergeCell ref="J30:M30"/>
    <mergeCell ref="R30:U30"/>
    <mergeCell ref="Z30:AC30"/>
    <mergeCell ref="AH30:AK30"/>
    <mergeCell ref="AP30:AS30"/>
    <mergeCell ref="B31:F31"/>
    <mergeCell ref="J31:N31"/>
    <mergeCell ref="R31:V31"/>
    <mergeCell ref="AC15:AD15"/>
    <mergeCell ref="AH15:AJ15"/>
    <mergeCell ref="B32:D32"/>
    <mergeCell ref="J32:L32"/>
    <mergeCell ref="R32:T32"/>
    <mergeCell ref="Z32:AB32"/>
    <mergeCell ref="AH32:AJ32"/>
    <mergeCell ref="Z31:AD31"/>
    <mergeCell ref="AH31:AL31"/>
    <mergeCell ref="E15:F15"/>
    <mergeCell ref="J15:L15"/>
    <mergeCell ref="M15:N15"/>
    <mergeCell ref="R15:T15"/>
    <mergeCell ref="U15:V15"/>
    <mergeCell ref="Z15:AB15"/>
    <mergeCell ref="AK15:AL15"/>
    <mergeCell ref="AP15:AR15"/>
    <mergeCell ref="AS15:AT15"/>
    <mergeCell ref="B16:H16"/>
    <mergeCell ref="J16:P16"/>
    <mergeCell ref="R16:X16"/>
    <mergeCell ref="Z16:AF16"/>
    <mergeCell ref="AH16:AN16"/>
    <mergeCell ref="AP16:AV16"/>
    <mergeCell ref="B15:D15"/>
    <mergeCell ref="AK14:AL14"/>
    <mergeCell ref="AP14:AR14"/>
    <mergeCell ref="AS14:AT14"/>
    <mergeCell ref="B13:D13"/>
    <mergeCell ref="E13:F13"/>
    <mergeCell ref="J13:L13"/>
    <mergeCell ref="M13:N13"/>
    <mergeCell ref="R13:T13"/>
    <mergeCell ref="U13:V13"/>
    <mergeCell ref="Z13:AB13"/>
    <mergeCell ref="AS13:AT13"/>
    <mergeCell ref="B14:D14"/>
    <mergeCell ref="E14:F14"/>
    <mergeCell ref="J14:L14"/>
    <mergeCell ref="M14:N14"/>
    <mergeCell ref="R14:T14"/>
    <mergeCell ref="U14:V14"/>
    <mergeCell ref="Z14:AB14"/>
    <mergeCell ref="AC14:AD14"/>
    <mergeCell ref="AH14:AJ14"/>
    <mergeCell ref="U11:V11"/>
    <mergeCell ref="Z11:AB11"/>
    <mergeCell ref="AC11:AD11"/>
    <mergeCell ref="AH11:AJ11"/>
    <mergeCell ref="AK13:AL13"/>
    <mergeCell ref="AP13:AR13"/>
    <mergeCell ref="AC13:AD13"/>
    <mergeCell ref="AH13:AJ13"/>
    <mergeCell ref="AC12:AD12"/>
    <mergeCell ref="AH12:AJ12"/>
    <mergeCell ref="AK12:AL12"/>
    <mergeCell ref="AP12:AR12"/>
    <mergeCell ref="AS12:AT12"/>
    <mergeCell ref="B11:D11"/>
    <mergeCell ref="E11:F11"/>
    <mergeCell ref="J11:L11"/>
    <mergeCell ref="M11:N11"/>
    <mergeCell ref="R11:T11"/>
    <mergeCell ref="AK11:AL11"/>
    <mergeCell ref="AP11:AR11"/>
    <mergeCell ref="AS11:AT11"/>
    <mergeCell ref="B12:D12"/>
    <mergeCell ref="E12:F12"/>
    <mergeCell ref="J12:L12"/>
    <mergeCell ref="M12:N12"/>
    <mergeCell ref="R12:T12"/>
    <mergeCell ref="U12:V12"/>
    <mergeCell ref="Z12:AB12"/>
    <mergeCell ref="R9:X9"/>
    <mergeCell ref="Z9:AF9"/>
    <mergeCell ref="AH9:AN9"/>
    <mergeCell ref="AP9:AV9"/>
    <mergeCell ref="B10:H10"/>
    <mergeCell ref="J10:P10"/>
    <mergeCell ref="R10:X10"/>
    <mergeCell ref="Z10:AF10"/>
    <mergeCell ref="AH10:AN10"/>
    <mergeCell ref="AP10:AV10"/>
    <mergeCell ref="B6:D6"/>
    <mergeCell ref="F6:J6"/>
    <mergeCell ref="B7:D7"/>
    <mergeCell ref="F7:J7"/>
    <mergeCell ref="B9:H9"/>
    <mergeCell ref="J9:P9"/>
    <mergeCell ref="B1:AV1"/>
    <mergeCell ref="B2:AV2"/>
    <mergeCell ref="B3:H3"/>
    <mergeCell ref="B4:D4"/>
    <mergeCell ref="F4:J4"/>
    <mergeCell ref="B5:D5"/>
    <mergeCell ref="F5:J5"/>
  </mergeCells>
  <dataValidations count="1">
    <dataValidation type="list" sqref="E14 M14 U14 AC14 AK14 AS14" xr:uid="{00000000-0002-0000-0000-000000000000}">
      <formula1>"DMSO,aqueous"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Bravo</dc:creator>
  <cp:lastModifiedBy>Sergi Bravo</cp:lastModifiedBy>
  <dcterms:created xsi:type="dcterms:W3CDTF">2026-08-24T20:44:30Z</dcterms:created>
  <dcterms:modified xsi:type="dcterms:W3CDTF">2026-08-24T20:45:08Z</dcterms:modified>
</cp:coreProperties>
</file>